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opcommerce-qa-testing\Test-Execution\"/>
    </mc:Choice>
  </mc:AlternateContent>
  <xr:revisionPtr revIDLastSave="0" documentId="13_ncr:1_{BB86C3C8-DDDC-46B8-AB84-7DF6CB642657}" xr6:coauthVersionLast="47" xr6:coauthVersionMax="47" xr10:uidLastSave="{00000000-0000-0000-0000-000000000000}"/>
  <bookViews>
    <workbookView xWindow="-108" yWindow="252" windowWidth="23256" windowHeight="12816" xr2:uid="{00000000-000D-0000-FFFF-FFFF00000000}"/>
  </bookViews>
  <sheets>
    <sheet name="Execution" sheetId="1" r:id="rId1"/>
  </sheets>
  <externalReferences>
    <externalReference r:id="rId2"/>
    <externalReference r:id="rId3"/>
  </externalReferences>
  <definedNames>
    <definedName name="_xlnm._FilterDatabase" localSheetId="0" hidden="1">Execution!$I$1:$I$109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2" i="1"/>
  <c r="I2" i="1" s="1"/>
  <c r="G16" i="1"/>
  <c r="G17" i="1"/>
  <c r="G18" i="1"/>
  <c r="G19" i="1"/>
  <c r="G20" i="1"/>
  <c r="G21" i="1"/>
  <c r="G22" i="1"/>
  <c r="G23" i="1"/>
  <c r="G24" i="1"/>
  <c r="G2"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15" i="1"/>
  <c r="G14" i="1"/>
  <c r="G13" i="1"/>
  <c r="G12" i="1"/>
  <c r="G11" i="1"/>
  <c r="G10" i="1"/>
  <c r="G9" i="1"/>
  <c r="G8" i="1"/>
  <c r="G7" i="1"/>
  <c r="G6" i="1"/>
  <c r="G5" i="1"/>
  <c r="G4" i="1"/>
  <c r="G3" i="1"/>
</calcChain>
</file>

<file path=xl/sharedStrings.xml><?xml version="1.0" encoding="utf-8"?>
<sst xmlns="http://schemas.openxmlformats.org/spreadsheetml/2006/main" count="549" uniqueCount="129">
  <si>
    <t>Test Case ID</t>
  </si>
  <si>
    <t>Module</t>
  </si>
  <si>
    <t>Execution Date</t>
  </si>
  <si>
    <t>Tester</t>
  </si>
  <si>
    <t>Browser</t>
  </si>
  <si>
    <t>Status</t>
  </si>
  <si>
    <t>Actual Result</t>
  </si>
  <si>
    <t>Defect ID</t>
  </si>
  <si>
    <t>Evidence</t>
  </si>
  <si>
    <t>TC-001</t>
  </si>
  <si>
    <t>Registration</t>
  </si>
  <si>
    <t>Not Executed</t>
  </si>
  <si>
    <t>TC-002</t>
  </si>
  <si>
    <t>TC-003</t>
  </si>
  <si>
    <t>TC-004</t>
  </si>
  <si>
    <t>TC-005</t>
  </si>
  <si>
    <t>TC-006</t>
  </si>
  <si>
    <t>TC-007</t>
  </si>
  <si>
    <t>TC-008</t>
  </si>
  <si>
    <t>TC-009</t>
  </si>
  <si>
    <t>TC-010</t>
  </si>
  <si>
    <t>TC-011</t>
  </si>
  <si>
    <t>TC-012</t>
  </si>
  <si>
    <t>TC-013</t>
  </si>
  <si>
    <t>TC-014</t>
  </si>
  <si>
    <t>TC-015</t>
  </si>
  <si>
    <t>TC-016</t>
  </si>
  <si>
    <t>Login</t>
  </si>
  <si>
    <t>TC-017</t>
  </si>
  <si>
    <t>TC-018</t>
  </si>
  <si>
    <t>TC-019</t>
  </si>
  <si>
    <t>TC-020</t>
  </si>
  <si>
    <t>TC-021</t>
  </si>
  <si>
    <t>TC-022</t>
  </si>
  <si>
    <t>TC-023</t>
  </si>
  <si>
    <t>TC-024</t>
  </si>
  <si>
    <t>TC-025</t>
  </si>
  <si>
    <t>TC-026</t>
  </si>
  <si>
    <t>TC-027</t>
  </si>
  <si>
    <t>TC-028</t>
  </si>
  <si>
    <t>TC-029</t>
  </si>
  <si>
    <t>TC-030</t>
  </si>
  <si>
    <t>TC-031</t>
  </si>
  <si>
    <t>Search</t>
  </si>
  <si>
    <t>TC-032</t>
  </si>
  <si>
    <t>TC-033</t>
  </si>
  <si>
    <t>TC-034</t>
  </si>
  <si>
    <t>TC-035</t>
  </si>
  <si>
    <t>TC-036</t>
  </si>
  <si>
    <t>TC-037</t>
  </si>
  <si>
    <t>TC-038</t>
  </si>
  <si>
    <t>TC-039</t>
  </si>
  <si>
    <t>TC-040</t>
  </si>
  <si>
    <t>TC-041</t>
  </si>
  <si>
    <t>TC-042</t>
  </si>
  <si>
    <t>TC-043</t>
  </si>
  <si>
    <t>TC-044</t>
  </si>
  <si>
    <t>TC-045</t>
  </si>
  <si>
    <t>TC-046</t>
  </si>
  <si>
    <t>Catalog</t>
  </si>
  <si>
    <t>TC-047</t>
  </si>
  <si>
    <t>TC-048</t>
  </si>
  <si>
    <t>TC-049</t>
  </si>
  <si>
    <t>TC-050</t>
  </si>
  <si>
    <t>TC-051</t>
  </si>
  <si>
    <t>TC-052</t>
  </si>
  <si>
    <t>TC-053</t>
  </si>
  <si>
    <t>TC-054</t>
  </si>
  <si>
    <t>TC-055</t>
  </si>
  <si>
    <t>TC-056</t>
  </si>
  <si>
    <t>TC-057</t>
  </si>
  <si>
    <t>TC-058</t>
  </si>
  <si>
    <t>TC-059</t>
  </si>
  <si>
    <t>TC-060</t>
  </si>
  <si>
    <t>TC-061</t>
  </si>
  <si>
    <t>Wishlist</t>
  </si>
  <si>
    <t>TC-062</t>
  </si>
  <si>
    <t>TC-063</t>
  </si>
  <si>
    <t>TC-064</t>
  </si>
  <si>
    <t>TC-065</t>
  </si>
  <si>
    <t>TC-066</t>
  </si>
  <si>
    <t>TC-067</t>
  </si>
  <si>
    <t>Compare</t>
  </si>
  <si>
    <t>TC-068</t>
  </si>
  <si>
    <t>TC-069</t>
  </si>
  <si>
    <t>TC-070</t>
  </si>
  <si>
    <t>TC-071</t>
  </si>
  <si>
    <t>TC-072</t>
  </si>
  <si>
    <t>Cart</t>
  </si>
  <si>
    <t>TC-073</t>
  </si>
  <si>
    <t>TC-074</t>
  </si>
  <si>
    <t>TC-075</t>
  </si>
  <si>
    <t>TC-076</t>
  </si>
  <si>
    <t>TC-077</t>
  </si>
  <si>
    <t>TC-078</t>
  </si>
  <si>
    <t>TC-079</t>
  </si>
  <si>
    <t>TC-080</t>
  </si>
  <si>
    <t>TC-081</t>
  </si>
  <si>
    <t>TC-082</t>
  </si>
  <si>
    <t>TC-083</t>
  </si>
  <si>
    <t>TC-084</t>
  </si>
  <si>
    <t>TC-085</t>
  </si>
  <si>
    <t>TC-086</t>
  </si>
  <si>
    <t>Checkout</t>
  </si>
  <si>
    <t>TC-087</t>
  </si>
  <si>
    <t>TC-088</t>
  </si>
  <si>
    <t>TC-089</t>
  </si>
  <si>
    <t>TC-090</t>
  </si>
  <si>
    <t>TC-091</t>
  </si>
  <si>
    <t>TC-092</t>
  </si>
  <si>
    <t>TC-093</t>
  </si>
  <si>
    <t>TC-094</t>
  </si>
  <si>
    <t>TC-095</t>
  </si>
  <si>
    <t>TC-096</t>
  </si>
  <si>
    <t>TC-097</t>
  </si>
  <si>
    <t>Smoke</t>
  </si>
  <si>
    <t>TC-098</t>
  </si>
  <si>
    <t>TC-099</t>
  </si>
  <si>
    <t>TC-100</t>
  </si>
  <si>
    <t>Ram</t>
  </si>
  <si>
    <t>Google Chrome</t>
  </si>
  <si>
    <t>TC-101</t>
  </si>
  <si>
    <t>TC-102</t>
  </si>
  <si>
    <t>TC-103</t>
  </si>
  <si>
    <t>TC-104</t>
  </si>
  <si>
    <t>TC-105</t>
  </si>
  <si>
    <t>TC-106</t>
  </si>
  <si>
    <t>TC-107</t>
  </si>
  <si>
    <t>TC-108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</si>
</sst>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0" borderId="1" xfId="0" applyFont="1" applyBorder="1" applyAlignment="1">
      <alignment vertical="top" wrapText="1"/>
    </xf>
    <xf numFmtId="1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Cases/nopCommerce_Test_Cases.xlsx" TargetMode="External"/><Relationship Id="rId2" Type="http://schemas.openxmlformats.org/officeDocument/2006/relationships/externalLinkPath" Target="file:///D:\nopcommerce-qa-testing\Test-Cases\nopCommerce_Test_Cases.xlsx" TargetMode="External"/><Relationship Id="rId1" Type="http://schemas.openxmlformats.org/officeDocument/2006/relationships/externalLinkPath" Target="/nopcommerce-qa-testing/Test-Cases/nopCommerce_Test_Cas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ug-Reports/Bug_Report_Template.xlsx" TargetMode="External"/><Relationship Id="rId2" Type="http://schemas.openxmlformats.org/officeDocument/2006/relationships/externalLinkPath" Target="file:///D:\nopcommerce-qa-testing\Bug-Reports\Bug_Report_Template.xlsx" TargetMode="External"/><Relationship Id="rId1" Type="http://schemas.openxmlformats.org/officeDocument/2006/relationships/externalLinkPath" Target="/nopcommerce-qa-testing/Bug-Reports/Bug_Repor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 Cases"/>
      <sheetName val="Test Data"/>
      <sheetName val="Execution Summary"/>
    </sheetNames>
    <sheetDataSet>
      <sheetData sheetId="0">
        <row r="1">
          <cell r="A1" t="str">
            <v>Test Case ID</v>
          </cell>
          <cell r="B1" t="str">
            <v>Module</v>
          </cell>
          <cell r="C1" t="str">
            <v>Test Case</v>
          </cell>
          <cell r="D1" t="str">
            <v>Precondition</v>
          </cell>
          <cell r="E1" t="str">
            <v>Steps</v>
          </cell>
          <cell r="F1" t="str">
            <v>Expected Result</v>
          </cell>
          <cell r="G1" t="str">
            <v>Test Type</v>
          </cell>
          <cell r="H1" t="str">
            <v>Priority</v>
          </cell>
          <cell r="I1" t="str">
            <v>Status</v>
          </cell>
          <cell r="J1" t="str">
            <v>Actual Result</v>
          </cell>
          <cell r="K1" t="str">
            <v>Defect ID</v>
          </cell>
        </row>
        <row r="2">
          <cell r="A2" t="str">
            <v>TC-001</v>
          </cell>
          <cell r="B2" t="str">
            <v>Registration</v>
          </cell>
          <cell r="C2" t="str">
            <v>Register with valid mandatory data</v>
          </cell>
          <cell r="D2" t="str">
            <v>Register page open</v>
          </cell>
          <cell r="E2" t="str">
            <v>Enter valid first/last name, unique email, password and confirmation; submit</v>
          </cell>
          <cell r="F2" t="str">
            <v>Account is created and success/confirmation state is shown</v>
          </cell>
          <cell r="G2" t="str">
            <v>Functional</v>
          </cell>
          <cell r="H2" t="str">
            <v>High</v>
          </cell>
          <cell r="I2" t="str">
            <v>Pass</v>
          </cell>
          <cell r="J2" t="str">
            <v>Registration completed message was displayed with continue button</v>
          </cell>
          <cell r="K2" t="str">
            <v>NA</v>
          </cell>
        </row>
        <row r="3">
          <cell r="A3" t="str">
            <v>TC-002</v>
          </cell>
          <cell r="B3" t="str">
            <v>Registration</v>
          </cell>
          <cell r="C3" t="str">
            <v>Submit registration with required fields blank</v>
          </cell>
          <cell r="D3" t="str">
            <v>Register page open</v>
          </cell>
          <cell r="E3" t="str">
            <v>Click Register without entering data</v>
          </cell>
          <cell r="F3" t="str">
            <v>Required-field validation is displayed</v>
          </cell>
          <cell r="G3" t="str">
            <v>Negative</v>
          </cell>
          <cell r="H3" t="str">
            <v>High</v>
          </cell>
          <cell r="I3" t="str">
            <v>Pass</v>
          </cell>
          <cell r="J3" t="str">
            <v>"First name is required.", "Last name is required.", "Email is required.", and "Password is required." messages were displayed.</v>
          </cell>
          <cell r="K3" t="str">
            <v>NA</v>
          </cell>
        </row>
        <row r="4">
          <cell r="A4" t="str">
            <v>TC-003</v>
          </cell>
          <cell r="B4" t="str">
            <v>Registration</v>
          </cell>
          <cell r="C4" t="str">
            <v>Invalid email format</v>
          </cell>
          <cell r="D4" t="str">
            <v>Register page open</v>
          </cell>
          <cell r="E4" t="str">
            <v>Enter invalid email format and valid remaining data; submit</v>
          </cell>
          <cell r="F4" t="str">
            <v>Email validation is displayed and registration is blocked</v>
          </cell>
          <cell r="G4" t="str">
            <v>Negative</v>
          </cell>
          <cell r="H4" t="str">
            <v>High</v>
          </cell>
          <cell r="I4" t="str">
            <v>Pass</v>
          </cell>
          <cell r="J4" t="str">
            <v>"Please enter a valid email address." is displayed and registration was blocked.</v>
          </cell>
          <cell r="K4" t="str">
            <v>NA</v>
          </cell>
        </row>
        <row r="5">
          <cell r="A5" t="str">
            <v>TC-004</v>
          </cell>
          <cell r="B5" t="str">
            <v>Registration</v>
          </cell>
          <cell r="C5" t="str">
            <v>Password confirmation mismatch</v>
          </cell>
          <cell r="D5" t="str">
            <v>Register page open</v>
          </cell>
          <cell r="E5" t="str">
            <v>Enter valid data with different password confirmation; submit</v>
          </cell>
          <cell r="F5" t="str">
            <v>Mismatch validation is displayed</v>
          </cell>
          <cell r="G5" t="str">
            <v>Negative</v>
          </cell>
          <cell r="H5" t="str">
            <v>High</v>
          </cell>
          <cell r="I5" t="str">
            <v>Pass</v>
          </cell>
          <cell r="J5" t="str">
            <v>"The password and confirmation password do not match." message was displayed.</v>
          </cell>
          <cell r="K5" t="str">
            <v>NA</v>
          </cell>
        </row>
        <row r="6">
          <cell r="A6" t="str">
            <v>TC-005</v>
          </cell>
          <cell r="B6" t="str">
            <v>Registration</v>
          </cell>
          <cell r="C6" t="str">
            <v>Duplicate email registration</v>
          </cell>
          <cell r="D6" t="str">
            <v>Existing account email available</v>
          </cell>
          <cell r="E6" t="str">
            <v>Register using existing email</v>
          </cell>
          <cell r="F6" t="str">
            <v>Duplicate-account validation is displayed</v>
          </cell>
          <cell r="G6" t="str">
            <v>Negative</v>
          </cell>
          <cell r="H6" t="str">
            <v>High</v>
          </cell>
          <cell r="I6" t="str">
            <v>Pass</v>
          </cell>
          <cell r="J6" t="str">
            <v>"The specified email already exists" message was displayed.</v>
          </cell>
          <cell r="K6" t="str">
            <v>NA</v>
          </cell>
        </row>
        <row r="7">
          <cell r="A7" t="str">
            <v>TC-006</v>
          </cell>
          <cell r="B7" t="str">
            <v>Registration</v>
          </cell>
          <cell r="C7" t="str">
            <v>First Name - Minimum Boundary</v>
          </cell>
          <cell r="D7" t="str">
            <v>Register page open</v>
          </cell>
          <cell r="E7" t="str">
            <v>Enter a 1-character first name with valid remaining data; submit</v>
          </cell>
          <cell r="F7" t="str">
            <v>A first name meeting the minimum allowed length is accepted</v>
          </cell>
          <cell r="G7" t="str">
            <v>Boundary</v>
          </cell>
          <cell r="H7" t="str">
            <v>Medium</v>
          </cell>
          <cell r="I7" t="str">
            <v>Pass</v>
          </cell>
          <cell r="J7" t="str">
            <v>A 1-character first name was accepted and registration proceeded successfully. No client-side minlength restriction was present (minlength = -1).</v>
          </cell>
          <cell r="K7" t="str">
            <v>NA</v>
          </cell>
        </row>
        <row r="8">
          <cell r="A8" t="str">
            <v>TC-007</v>
          </cell>
          <cell r="B8" t="str">
            <v>Registration</v>
          </cell>
          <cell r="C8" t="str">
            <v>First Name - Long Value handling</v>
          </cell>
          <cell r="D8" t="str">
            <v>Register page open</v>
          </cell>
          <cell r="E8" t="str">
            <v>Enter a very long first name with valid remaining data; submit</v>
          </cell>
          <cell r="F8" t="str">
            <v>Application should enforce an appropriate maximum length or validation rule</v>
          </cell>
          <cell r="G8" t="str">
            <v>Boundary</v>
          </cell>
          <cell r="H8" t="str">
            <v>Medium</v>
          </cell>
          <cell r="I8" t="str">
            <v>Fail</v>
          </cell>
          <cell r="J8" t="str">
            <v>First Name field accepted 2,527 characters and registration proceeded successfully. No client-side maxlength restriction was present (maxlength = -1).</v>
          </cell>
          <cell r="K8" t="str">
            <v>BUG-001</v>
          </cell>
        </row>
        <row r="9">
          <cell r="A9" t="str">
            <v>TC-008</v>
          </cell>
          <cell r="B9" t="str">
            <v>Registration</v>
          </cell>
          <cell r="C9" t="str">
            <v>Last Name - Minimum Boundary</v>
          </cell>
          <cell r="D9" t="str">
            <v>Register page open</v>
          </cell>
          <cell r="E9" t="str">
            <v>Enter a 1-character first name with valid remaining data; submit</v>
          </cell>
          <cell r="F9" t="str">
            <v>A last name meeting the minimum allowed length is accepted</v>
          </cell>
          <cell r="G9" t="str">
            <v>Boundary</v>
          </cell>
          <cell r="H9" t="str">
            <v>Medium</v>
          </cell>
          <cell r="I9" t="str">
            <v>Pass</v>
          </cell>
          <cell r="J9" t="str">
            <v>A 1-character last name was accepted and registration proceeded successfully. No client-side minlength restriction was present (minlength = -1).</v>
          </cell>
          <cell r="K9" t="str">
            <v>NA</v>
          </cell>
        </row>
        <row r="10">
          <cell r="A10" t="str">
            <v>TC-009</v>
          </cell>
          <cell r="B10" t="str">
            <v>Registration</v>
          </cell>
          <cell r="C10" t="str">
            <v>Last Name – Long Value Handling</v>
          </cell>
          <cell r="D10" t="str">
            <v>Register page open</v>
          </cell>
          <cell r="E10" t="str">
            <v>Enter a very long last name with valid remaining data; submit</v>
          </cell>
          <cell r="F10" t="str">
            <v>Application should handle excessive long input gracefully by enforcing an appropriate length limit or displaying a validation message</v>
          </cell>
          <cell r="G10" t="str">
            <v>Boundary</v>
          </cell>
          <cell r="H10" t="str">
            <v>Medium</v>
          </cell>
          <cell r="I10" t="str">
            <v>Fail</v>
          </cell>
          <cell r="J10" t="str">
            <v>Submitting a 1,490 -character Last Name resulted in an "We're sorry, an internal error occurred" page. Registration was not completed. "The specified email already exists." was displayed on Registration page.</v>
          </cell>
          <cell r="K10" t="str">
            <v>BUG-002</v>
          </cell>
        </row>
        <row r="11">
          <cell r="A11" t="str">
            <v>TC-010</v>
          </cell>
          <cell r="B11" t="str">
            <v>Registration</v>
          </cell>
          <cell r="C11" t="str">
            <v>Email – Minimum Local-Part Boundary</v>
          </cell>
          <cell r="D11" t="str">
            <v>Register page open</v>
          </cell>
          <cell r="E11" t="str">
            <v>Enter an email with a 1-character local part and valid email format; enter valid remaining data; submit</v>
          </cell>
          <cell r="F11" t="str">
            <v>Application should allow registration and display successful registration message.</v>
          </cell>
          <cell r="G11" t="str">
            <v>Boundary</v>
          </cell>
          <cell r="H11" t="str">
            <v>Medium</v>
          </cell>
          <cell r="I11" t="str">
            <v>Pass</v>
          </cell>
          <cell r="J11" t="str">
            <v>Application allowed successful registration with "q@gmail.com" and remaining valid details when submitted.</v>
          </cell>
          <cell r="K11" t="str">
            <v>NA</v>
          </cell>
        </row>
        <row r="12">
          <cell r="A12" t="str">
            <v>TC-011</v>
          </cell>
          <cell r="B12" t="str">
            <v>Registration</v>
          </cell>
          <cell r="C12" t="str">
            <v>Email – Long Value Handling</v>
          </cell>
          <cell r="D12" t="str">
            <v>Register page open</v>
          </cell>
          <cell r="E12" t="str">
            <v>Enter a very long email with valid remaining data; submit</v>
          </cell>
          <cell r="F12" t="str">
            <v>Application should handle excessive long input gracefully by enforcing an appropriate length limit or displaying a validation message</v>
          </cell>
          <cell r="G12" t="str">
            <v>Boundary</v>
          </cell>
          <cell r="H12" t="str">
            <v>Medium</v>
          </cell>
          <cell r="I12" t="str">
            <v>Fail</v>
          </cell>
          <cell r="J12" t="str">
            <v>Submitting a 763 - character email resulted in an "We're sorry, an internal error occurred" page. Registration was not completed. "The specified email already exists." was displayed on Registration page.</v>
          </cell>
          <cell r="K12" t="str">
            <v>BUG-003</v>
          </cell>
        </row>
        <row r="13">
          <cell r="A13" t="str">
            <v>TC-012</v>
          </cell>
          <cell r="B13" t="str">
            <v>Registration</v>
          </cell>
          <cell r="C13" t="str">
            <v>Password - Minimum Boundary</v>
          </cell>
          <cell r="D13" t="str">
            <v>Register page open</v>
          </cell>
          <cell r="E13" t="str">
            <v>Enter a password with 6 characters only.</v>
          </cell>
          <cell r="F13" t="str">
            <v>application should allow the password and proeed fro registration</v>
          </cell>
          <cell r="G13" t="str">
            <v>Boundary</v>
          </cell>
          <cell r="H13" t="str">
            <v>Medium</v>
          </cell>
          <cell r="I13" t="str">
            <v>Pass</v>
          </cell>
          <cell r="J13" t="str">
            <v>6-character password is accepted and registration proceeds successfully</v>
          </cell>
          <cell r="K13" t="str">
            <v>NA</v>
          </cell>
        </row>
        <row r="14">
          <cell r="A14" t="str">
            <v>TC-013</v>
          </cell>
          <cell r="B14" t="str">
            <v>Registration</v>
          </cell>
          <cell r="C14" t="str">
            <v>Password - Maximum Boundary</v>
          </cell>
          <cell r="D14" t="str">
            <v>Register page open</v>
          </cell>
          <cell r="E14" t="str">
            <v>Enter a 64-character password and matching confirmation with valid remaining data; submit</v>
          </cell>
          <cell r="F14" t="str">
            <v>64-character password should be  accepted and registration should proceed successfully</v>
          </cell>
          <cell r="G14" t="str">
            <v>Boundary</v>
          </cell>
          <cell r="H14" t="str">
            <v>Medium</v>
          </cell>
          <cell r="I14" t="str">
            <v>Pass</v>
          </cell>
          <cell r="J14" t="str">
            <v>64-character password is accepted and registration proceeds successfully</v>
          </cell>
          <cell r="K14" t="str">
            <v>NA</v>
          </cell>
        </row>
        <row r="15">
          <cell r="A15" t="str">
            <v>TC-014</v>
          </cell>
          <cell r="B15" t="str">
            <v>Registration</v>
          </cell>
          <cell r="C15" t="str">
            <v>Password – Above Maximum Boundary</v>
          </cell>
          <cell r="D15" t="str">
            <v>Register page open</v>
          </cell>
          <cell r="E15" t="str">
            <v>Enter a password containing more than 64 characters and matching confirmation with valid remaining data; submit</v>
          </cell>
          <cell r="F15" t="str">
            <v>183-character password should be rejected and registration should not proceed.</v>
          </cell>
          <cell r="G15" t="str">
            <v>Boundary</v>
          </cell>
          <cell r="H15" t="str">
            <v>Medium</v>
          </cell>
          <cell r="I15" t="str">
            <v>Pass</v>
          </cell>
          <cell r="J15" t="str">
            <v>"Password must meet the following rules: must have at least 6 characters and not greater than 64 characters" message was displayed when 183 character password was entered.</v>
          </cell>
          <cell r="K15" t="str">
            <v>NA</v>
          </cell>
        </row>
        <row r="16">
          <cell r="A16" t="str">
            <v>TC-015</v>
          </cell>
          <cell r="B16" t="str">
            <v>Registration</v>
          </cell>
          <cell r="C16" t="str">
            <v>Whitespace handling</v>
          </cell>
          <cell r="D16" t="str">
            <v>Register page open</v>
          </cell>
          <cell r="E16" t="str">
            <v>Enter leading/trailing spaces in text fields; submit</v>
          </cell>
          <cell r="F16" t="str">
            <v>Input is handled consistently</v>
          </cell>
          <cell r="G16" t="str">
            <v>Negative</v>
          </cell>
          <cell r="H16" t="str">
            <v>Medium</v>
          </cell>
          <cell r="I16" t="str">
            <v>Not Executed</v>
          </cell>
        </row>
        <row r="17">
          <cell r="A17" t="str">
            <v>TC-016</v>
          </cell>
          <cell r="B17" t="str">
            <v>Registration</v>
          </cell>
          <cell r="C17" t="str">
            <v>Password masking</v>
          </cell>
          <cell r="D17" t="str">
            <v>Register page open</v>
          </cell>
          <cell r="E17" t="str">
            <v>Type a password</v>
          </cell>
          <cell r="F17" t="str">
            <v>Password characters are masked</v>
          </cell>
          <cell r="G17" t="str">
            <v>UI</v>
          </cell>
          <cell r="H17" t="str">
            <v>Low</v>
          </cell>
          <cell r="I17" t="str">
            <v>Not Executed</v>
          </cell>
        </row>
        <row r="18">
          <cell r="A18" t="str">
            <v>TC-017</v>
          </cell>
          <cell r="B18" t="str">
            <v>Registration</v>
          </cell>
          <cell r="C18" t="str">
            <v>Confirm password masking</v>
          </cell>
          <cell r="D18" t="str">
            <v>Register page open</v>
          </cell>
          <cell r="E18" t="str">
            <v>Type confirmation password</v>
          </cell>
          <cell r="F18" t="str">
            <v>Confirmation characters are masked</v>
          </cell>
          <cell r="G18" t="str">
            <v>UI</v>
          </cell>
          <cell r="H18" t="str">
            <v>Low</v>
          </cell>
          <cell r="I18" t="str">
            <v>Not Executed</v>
          </cell>
        </row>
        <row r="19">
          <cell r="A19" t="str">
            <v>TC-018</v>
          </cell>
          <cell r="B19" t="str">
            <v>Registration</v>
          </cell>
          <cell r="C19" t="str">
            <v>Navigate from login to registration</v>
          </cell>
          <cell r="D19" t="str">
            <v>Login page open</v>
          </cell>
          <cell r="E19" t="str">
            <v>Click Register</v>
          </cell>
          <cell r="F19" t="str">
            <v>Registration page opens</v>
          </cell>
          <cell r="G19" t="str">
            <v>Navigation</v>
          </cell>
          <cell r="H19" t="str">
            <v>Medium</v>
          </cell>
          <cell r="I19" t="str">
            <v>Not Executed</v>
          </cell>
        </row>
        <row r="20">
          <cell r="A20" t="str">
            <v>TC-019</v>
          </cell>
          <cell r="B20" t="str">
            <v>Registration</v>
          </cell>
          <cell r="C20" t="str">
            <v>Registration success message</v>
          </cell>
          <cell r="D20" t="str">
            <v>Valid registration submitted</v>
          </cell>
          <cell r="E20" t="str">
            <v>Complete valid registration</v>
          </cell>
          <cell r="F20" t="str">
            <v>Success confirmation is displayed</v>
          </cell>
          <cell r="G20" t="str">
            <v>Functional</v>
          </cell>
          <cell r="H20" t="str">
            <v>High</v>
          </cell>
          <cell r="I20" t="str">
            <v>Not Executed</v>
          </cell>
        </row>
        <row r="21">
          <cell r="A21" t="str">
            <v>TC-020</v>
          </cell>
          <cell r="B21" t="str">
            <v>Registration</v>
          </cell>
          <cell r="C21" t="str">
            <v>Special characters in name</v>
          </cell>
          <cell r="D21" t="str">
            <v>Register page open</v>
          </cell>
          <cell r="E21" t="str">
            <v>Enter supported special characters in name fields; submit</v>
          </cell>
          <cell r="F21" t="str">
            <v>Application handles allowed characters according to validation rules</v>
          </cell>
          <cell r="G21" t="str">
            <v>Negative</v>
          </cell>
          <cell r="H21" t="str">
            <v>Medium</v>
          </cell>
          <cell r="I21" t="str">
            <v>Not Executed</v>
          </cell>
        </row>
        <row r="22">
          <cell r="A22" t="str">
            <v>TC-021</v>
          </cell>
          <cell r="B22" t="str">
            <v>Registration</v>
          </cell>
          <cell r="C22" t="str">
            <v>Refresh registration page</v>
          </cell>
          <cell r="D22" t="str">
            <v>Register page open</v>
          </cell>
          <cell r="E22" t="str">
            <v>Refresh browser</v>
          </cell>
          <cell r="F22" t="str">
            <v>Page reloads without application error</v>
          </cell>
          <cell r="G22" t="str">
            <v>Smoke</v>
          </cell>
          <cell r="H22" t="str">
            <v>Low</v>
          </cell>
          <cell r="I22" t="str">
            <v>Not Executed</v>
          </cell>
        </row>
        <row r="23">
          <cell r="A23" t="str">
            <v>TC-022</v>
          </cell>
          <cell r="B23" t="str">
            <v>Registration</v>
          </cell>
          <cell r="C23" t="str">
            <v>Back/forward navigation</v>
          </cell>
          <cell r="D23" t="str">
            <v>Register page open</v>
          </cell>
          <cell r="E23" t="str">
            <v>Use browser Back/Forward</v>
          </cell>
          <cell r="F23" t="str">
            <v>Navigation remains stable</v>
          </cell>
          <cell r="G23" t="str">
            <v>Navigation</v>
          </cell>
          <cell r="H23" t="str">
            <v>Low</v>
          </cell>
          <cell r="I23" t="str">
            <v>Not Executed</v>
          </cell>
        </row>
        <row r="24">
          <cell r="A24" t="str">
            <v>TC-023</v>
          </cell>
          <cell r="B24" t="str">
            <v>Registration</v>
          </cell>
          <cell r="C24" t="str">
            <v>Correct data after validation error</v>
          </cell>
          <cell r="D24" t="str">
            <v>Validation error displayed</v>
          </cell>
          <cell r="E24" t="str">
            <v>Correct invalid field and resubmit</v>
          </cell>
          <cell r="F24" t="str">
            <v>Corrected data is accepted if all rules are satisfied</v>
          </cell>
          <cell r="G24" t="str">
            <v>Functional</v>
          </cell>
          <cell r="H24" t="str">
            <v>High</v>
          </cell>
          <cell r="I24" t="str">
            <v>Not Executed</v>
          </cell>
        </row>
        <row r="25">
          <cell r="A25" t="str">
            <v>TC-024</v>
          </cell>
          <cell r="B25" t="str">
            <v>Login</v>
          </cell>
          <cell r="C25" t="str">
            <v>Login with valid credentials</v>
          </cell>
          <cell r="D25" t="str">
            <v>Registered account exists</v>
          </cell>
          <cell r="E25" t="str">
            <v>Enter valid email/password and log in</v>
          </cell>
          <cell r="F25" t="str">
            <v>User is authenticated</v>
          </cell>
          <cell r="G25" t="str">
            <v>Functional</v>
          </cell>
          <cell r="H25" t="str">
            <v>High</v>
          </cell>
          <cell r="I25" t="str">
            <v>Pass</v>
          </cell>
          <cell r="J25" t="str">
            <v>User successfully logged in.</v>
          </cell>
          <cell r="K25" t="str">
            <v>NA</v>
          </cell>
        </row>
        <row r="26">
          <cell r="A26" t="str">
            <v>TC-025</v>
          </cell>
          <cell r="B26" t="str">
            <v>Login</v>
          </cell>
          <cell r="C26" t="str">
            <v>Login with invalid password</v>
          </cell>
          <cell r="D26" t="str">
            <v>Registered account exists</v>
          </cell>
          <cell r="E26" t="str">
            <v>Enter valid email and wrong password</v>
          </cell>
          <cell r="F26" t="str">
            <v>Login is rejected with appropriate message</v>
          </cell>
          <cell r="G26" t="str">
            <v>Negative</v>
          </cell>
          <cell r="H26" t="str">
            <v>High</v>
          </cell>
          <cell r="I26" t="str">
            <v>Pass</v>
          </cell>
          <cell r="J26" t="str">
            <v>"Login was unsuccessful. Please correct the errors and try again.
The credentials provided are incorrect" message was displayed and login attempt was rejected.</v>
          </cell>
          <cell r="K26" t="str">
            <v>NA</v>
          </cell>
        </row>
        <row r="27">
          <cell r="A27" t="str">
            <v>TC-026</v>
          </cell>
          <cell r="B27" t="str">
            <v>Login</v>
          </cell>
          <cell r="C27" t="str">
            <v>Login with unregistered email</v>
          </cell>
          <cell r="D27" t="str">
            <v>Login page open</v>
          </cell>
          <cell r="E27" t="str">
            <v>Enter unregistered email and password</v>
          </cell>
          <cell r="F27" t="str">
            <v>Login is rejected</v>
          </cell>
          <cell r="G27" t="str">
            <v>Negative</v>
          </cell>
          <cell r="H27" t="str">
            <v>High</v>
          </cell>
          <cell r="I27" t="str">
            <v>Pass</v>
          </cell>
          <cell r="J27" t="str">
            <v>"Login was unsuccessful. Please correct the errors and try again.
No customer account found" message was displayed and login was rejected.</v>
          </cell>
          <cell r="K27" t="str">
            <v>NA</v>
          </cell>
        </row>
        <row r="28">
          <cell r="A28" t="str">
            <v>TC-027</v>
          </cell>
          <cell r="B28" t="str">
            <v>Login</v>
          </cell>
          <cell r="C28" t="str">
            <v>Both fields blank</v>
          </cell>
          <cell r="D28" t="str">
            <v>Login page open</v>
          </cell>
          <cell r="E28" t="str">
            <v>Click Log in without data</v>
          </cell>
          <cell r="F28" t="str">
            <v>Required validation is displayed</v>
          </cell>
          <cell r="G28" t="str">
            <v>Negative</v>
          </cell>
          <cell r="H28" t="str">
            <v>High</v>
          </cell>
          <cell r="I28" t="str">
            <v>Pass</v>
          </cell>
          <cell r="J28" t="str">
            <v>"Please enter your email" message appeared did not proceed for password</v>
          </cell>
          <cell r="K28" t="str">
            <v>NA</v>
          </cell>
        </row>
        <row r="29">
          <cell r="A29" t="str">
            <v>TC-028</v>
          </cell>
          <cell r="B29" t="str">
            <v>Login</v>
          </cell>
          <cell r="C29" t="str">
            <v>Blank password</v>
          </cell>
          <cell r="D29" t="str">
            <v>Login page open</v>
          </cell>
          <cell r="E29" t="str">
            <v>Enter email only and submit</v>
          </cell>
          <cell r="F29" t="str">
            <v>Password validation is displayed</v>
          </cell>
          <cell r="G29" t="str">
            <v>Negative</v>
          </cell>
          <cell r="H29" t="str">
            <v>High</v>
          </cell>
          <cell r="I29" t="str">
            <v>Pass</v>
          </cell>
          <cell r="J29" t="str">
            <v>"Login was unsuccessful. Please correct the errors and try again.
The credentials provided are incorrect" message was displayed and login attempt was rejected.</v>
          </cell>
          <cell r="K29" t="str">
            <v>NA</v>
          </cell>
        </row>
        <row r="30">
          <cell r="A30" t="str">
            <v>TC-029</v>
          </cell>
          <cell r="B30" t="str">
            <v>Login</v>
          </cell>
          <cell r="C30" t="str">
            <v>Blank email</v>
          </cell>
          <cell r="D30" t="str">
            <v>Login page open</v>
          </cell>
          <cell r="E30" t="str">
            <v>Enter password only and submit</v>
          </cell>
          <cell r="F30" t="str">
            <v>Email validation is displayed</v>
          </cell>
          <cell r="G30" t="str">
            <v>Negative</v>
          </cell>
          <cell r="H30" t="str">
            <v>High</v>
          </cell>
          <cell r="I30" t="str">
            <v>Pass</v>
          </cell>
          <cell r="J30" t="str">
            <v>"Please enter your email" message appeared.</v>
          </cell>
          <cell r="K30" t="str">
            <v>NA</v>
          </cell>
        </row>
        <row r="31">
          <cell r="A31" t="str">
            <v>TC-030</v>
          </cell>
          <cell r="B31" t="str">
            <v>Login</v>
          </cell>
          <cell r="C31" t="str">
            <v>Forgot password navigation</v>
          </cell>
          <cell r="D31" t="str">
            <v>Login page open</v>
          </cell>
          <cell r="E31" t="str">
            <v>Click Forgot password</v>
          </cell>
          <cell r="F31" t="str">
            <v>Password recovery workflow opens</v>
          </cell>
          <cell r="G31" t="str">
            <v>Functional</v>
          </cell>
          <cell r="H31" t="str">
            <v>Medium</v>
          </cell>
          <cell r="I31" t="str">
            <v>Not Executed</v>
          </cell>
        </row>
        <row r="32">
          <cell r="A32" t="str">
            <v>TC-031</v>
          </cell>
          <cell r="B32" t="str">
            <v>Login</v>
          </cell>
          <cell r="C32" t="str">
            <v>Remember me behavior</v>
          </cell>
          <cell r="D32" t="str">
            <v>Valid credentials available</v>
          </cell>
          <cell r="E32" t="str">
            <v>Log in with Remember me selected and reopen session as appropriate</v>
          </cell>
          <cell r="F32" t="str">
            <v>Remember-me behavior matches configured application behavior</v>
          </cell>
          <cell r="G32" t="str">
            <v>Functional</v>
          </cell>
          <cell r="H32" t="str">
            <v>Medium</v>
          </cell>
          <cell r="I32" t="str">
            <v>Not Executed</v>
          </cell>
        </row>
        <row r="33">
          <cell r="A33" t="str">
            <v>TC-032</v>
          </cell>
          <cell r="B33" t="str">
            <v>Login</v>
          </cell>
          <cell r="C33" t="str">
            <v>Password masking</v>
          </cell>
          <cell r="D33" t="str">
            <v>Login page open</v>
          </cell>
          <cell r="E33" t="str">
            <v>Type password</v>
          </cell>
          <cell r="F33" t="str">
            <v>Password characters are masked</v>
          </cell>
          <cell r="G33" t="str">
            <v>UI</v>
          </cell>
          <cell r="H33" t="str">
            <v>Low</v>
          </cell>
          <cell r="I33" t="str">
            <v>Not Executed</v>
          </cell>
        </row>
        <row r="34">
          <cell r="A34" t="str">
            <v>TC-033</v>
          </cell>
          <cell r="B34" t="str">
            <v>Login</v>
          </cell>
          <cell r="C34" t="str">
            <v>Logout</v>
          </cell>
          <cell r="D34" t="str">
            <v>Logged-in user</v>
          </cell>
          <cell r="E34" t="str">
            <v>Click Logout</v>
          </cell>
          <cell r="F34" t="str">
            <v>User is logged out</v>
          </cell>
          <cell r="G34" t="str">
            <v>Functional</v>
          </cell>
          <cell r="H34" t="str">
            <v>High</v>
          </cell>
          <cell r="I34" t="str">
            <v>Not Executed</v>
          </cell>
        </row>
        <row r="35">
          <cell r="A35" t="str">
            <v>TC-034</v>
          </cell>
          <cell r="B35" t="str">
            <v>Login</v>
          </cell>
          <cell r="C35" t="str">
            <v>Back after logout</v>
          </cell>
          <cell r="D35" t="str">
            <v>User logged in then logged out</v>
          </cell>
          <cell r="E35" t="str">
            <v>Press browser Back</v>
          </cell>
          <cell r="F35" t="str">
            <v>Protected content is not improperly exposed</v>
          </cell>
          <cell r="G35" t="str">
            <v>Security-oriented</v>
          </cell>
          <cell r="H35" t="str">
            <v>High</v>
          </cell>
          <cell r="I35" t="str">
            <v>Not Executed</v>
          </cell>
        </row>
        <row r="36">
          <cell r="A36" t="str">
            <v>TC-035</v>
          </cell>
          <cell r="B36" t="str">
            <v>Login</v>
          </cell>
          <cell r="C36" t="str">
            <v>Session behavior after refresh</v>
          </cell>
          <cell r="D36" t="str">
            <v>User logged in</v>
          </cell>
          <cell r="E36" t="str">
            <v>Refresh page</v>
          </cell>
          <cell r="F36" t="str">
            <v>Authenticated state behaves consistently</v>
          </cell>
          <cell r="G36" t="str">
            <v>Functional</v>
          </cell>
          <cell r="H36" t="str">
            <v>Medium</v>
          </cell>
          <cell r="I36" t="str">
            <v>Not Executed</v>
          </cell>
        </row>
        <row r="37">
          <cell r="A37" t="str">
            <v>TC-036</v>
          </cell>
          <cell r="B37" t="str">
            <v>Login</v>
          </cell>
          <cell r="C37" t="str">
            <v>Email case handling</v>
          </cell>
          <cell r="D37" t="str">
            <v>Registered account exists</v>
          </cell>
          <cell r="E37" t="str">
            <v>Attempt login using different email casing</v>
          </cell>
          <cell r="F37" t="str">
            <v>Behavior follows application email rules</v>
          </cell>
          <cell r="G37" t="str">
            <v>Negative</v>
          </cell>
          <cell r="H37" t="str">
            <v>Medium</v>
          </cell>
          <cell r="I37" t="str">
            <v>Not Executed</v>
          </cell>
        </row>
        <row r="38">
          <cell r="A38" t="str">
            <v>TC-037</v>
          </cell>
          <cell r="B38" t="str">
            <v>Login</v>
          </cell>
          <cell r="C38" t="str">
            <v>Special characters in password</v>
          </cell>
          <cell r="D38" t="str">
            <v>Account supports such password</v>
          </cell>
          <cell r="E38" t="str">
            <v>Log in with correct special-character password</v>
          </cell>
          <cell r="F38" t="str">
            <v>Login succeeds when credentials are correct</v>
          </cell>
          <cell r="G38" t="str">
            <v>Functional</v>
          </cell>
          <cell r="H38" t="str">
            <v>Medium</v>
          </cell>
          <cell r="I38" t="str">
            <v>Not Executed</v>
          </cell>
        </row>
        <row r="39">
          <cell r="A39" t="str">
            <v>TC-038</v>
          </cell>
          <cell r="B39" t="str">
            <v>Login</v>
          </cell>
          <cell r="C39" t="str">
            <v>Repeated invalid attempts</v>
          </cell>
          <cell r="D39" t="str">
            <v>Login page open</v>
          </cell>
          <cell r="E39" t="str">
            <v>Attempt invalid credentials repeatedly within normal test limits</v>
          </cell>
          <cell r="F39" t="str">
            <v>Application handles failures according to configured rules</v>
          </cell>
          <cell r="G39" t="str">
            <v>Negative</v>
          </cell>
          <cell r="H39" t="str">
            <v>Medium</v>
          </cell>
          <cell r="I39" t="str">
            <v>Not Executed</v>
          </cell>
        </row>
        <row r="40">
          <cell r="A40" t="str">
            <v>TC-039</v>
          </cell>
          <cell r="B40" t="str">
            <v>Search</v>
          </cell>
          <cell r="C40" t="str">
            <v>Search "Asus Laptop"</v>
          </cell>
          <cell r="D40" t="str">
            <v>Known product available</v>
          </cell>
          <cell r="E40" t="str">
            <v>Enter "Asus Laptop" and search</v>
          </cell>
          <cell r="F40" t="str">
            <v>Relevant product result is displayed</v>
          </cell>
          <cell r="G40" t="str">
            <v>Functional</v>
          </cell>
          <cell r="H40" t="str">
            <v>High</v>
          </cell>
          <cell r="I40" t="str">
            <v>Pass</v>
          </cell>
          <cell r="J40" t="str">
            <v>Asus Laptop appeared in the search result with product price, rating, add to cart option, compare and add to whishlist buttons.</v>
          </cell>
          <cell r="K40" t="str">
            <v>NA</v>
          </cell>
        </row>
        <row r="41">
          <cell r="A41" t="str">
            <v>TC-040</v>
          </cell>
          <cell r="B41" t="str">
            <v>Search</v>
          </cell>
          <cell r="C41" t="str">
            <v>Search partial product name</v>
          </cell>
          <cell r="D41" t="str">
            <v>Catalog available</v>
          </cell>
          <cell r="E41" t="str">
            <v>Enter partial keyword i.e; "Think" and search</v>
          </cell>
          <cell r="F41" t="str">
            <v>Relevant matching products are returned</v>
          </cell>
          <cell r="G41" t="str">
            <v>Functional</v>
          </cell>
          <cell r="H41" t="str">
            <v>High</v>
          </cell>
          <cell r="I41" t="str">
            <v>Pass</v>
          </cell>
          <cell r="J41" t="str">
            <v>Entered "Think" in search bar and "Lenovo Thinkpad Carbon Laptop" appeared in result when searched.</v>
          </cell>
          <cell r="K41" t="str">
            <v>NA</v>
          </cell>
        </row>
        <row r="42">
          <cell r="A42" t="str">
            <v>TC-041</v>
          </cell>
          <cell r="B42" t="str">
            <v>Search</v>
          </cell>
          <cell r="C42" t="str">
            <v>Search nonexistent product</v>
          </cell>
          <cell r="D42" t="str">
            <v>Catalog available</v>
          </cell>
          <cell r="E42" t="str">
            <v>Enter random nonexistent term</v>
          </cell>
          <cell r="F42" t="str">
            <v>No-results state is displayed</v>
          </cell>
          <cell r="G42" t="str">
            <v>Negative</v>
          </cell>
          <cell r="H42" t="str">
            <v>Medium</v>
          </cell>
          <cell r="I42" t="str">
            <v>Pass</v>
          </cell>
          <cell r="J42" t="str">
            <v>"No products were found that matched your criteria." was displayed when searched.</v>
          </cell>
          <cell r="K42" t="str">
            <v>NA</v>
          </cell>
        </row>
        <row r="43">
          <cell r="A43" t="str">
            <v>TC-042</v>
          </cell>
          <cell r="B43" t="str">
            <v>Search</v>
          </cell>
          <cell r="C43" t="str">
            <v>Blank search</v>
          </cell>
          <cell r="D43" t="str">
            <v>Search page open</v>
          </cell>
          <cell r="E43" t="str">
            <v>Submit empty search</v>
          </cell>
          <cell r="F43" t="str">
            <v>Application handles blank search appropriately</v>
          </cell>
          <cell r="G43" t="str">
            <v>Negative</v>
          </cell>
          <cell r="H43" t="str">
            <v>Medium</v>
          </cell>
          <cell r="I43" t="str">
            <v>Pass</v>
          </cell>
          <cell r="J43" t="str">
            <v>"Please enter some search keyword" javascript alert messages appeared.</v>
          </cell>
          <cell r="K43" t="str">
            <v>NA</v>
          </cell>
        </row>
        <row r="44">
          <cell r="A44" t="str">
            <v>TC-043</v>
          </cell>
          <cell r="B44" t="str">
            <v>Search</v>
          </cell>
          <cell r="C44" t="str">
            <v>Search with spaces</v>
          </cell>
          <cell r="D44" t="str">
            <v>Search page open</v>
          </cell>
          <cell r="E44" t="str">
            <v>Search valid keyword with surrounding spaces</v>
          </cell>
          <cell r="F44" t="str">
            <v>Search handles whitespace consistently</v>
          </cell>
          <cell r="G44" t="str">
            <v>Negative</v>
          </cell>
          <cell r="H44" t="str">
            <v>Low</v>
          </cell>
          <cell r="I44" t="str">
            <v>Not Executed</v>
          </cell>
        </row>
        <row r="45">
          <cell r="A45" t="str">
            <v>TC-044</v>
          </cell>
          <cell r="B45" t="str">
            <v>Search</v>
          </cell>
          <cell r="C45" t="str">
            <v>Search case variation</v>
          </cell>
          <cell r="D45" t="str">
            <v>Catalog available</v>
          </cell>
          <cell r="E45" t="str">
            <v>Search same term with different casing</v>
          </cell>
          <cell r="F45" t="str">
            <v>Results are consistent with search rules</v>
          </cell>
          <cell r="G45" t="str">
            <v>Functional</v>
          </cell>
          <cell r="H45" t="str">
            <v>Medium</v>
          </cell>
          <cell r="I45" t="str">
            <v>Not Executed</v>
          </cell>
        </row>
        <row r="46">
          <cell r="A46" t="str">
            <v>TC-045</v>
          </cell>
          <cell r="B46" t="str">
            <v>Search</v>
          </cell>
          <cell r="C46" t="str">
            <v>Search special characters</v>
          </cell>
          <cell r="D46" t="str">
            <v>Search page open</v>
          </cell>
          <cell r="E46" t="str">
            <v>Search using special characters</v>
          </cell>
          <cell r="F46" t="str">
            <v>Application handles input without error</v>
          </cell>
          <cell r="G46" t="str">
            <v>Negative</v>
          </cell>
          <cell r="H46" t="str">
            <v>Medium</v>
          </cell>
          <cell r="I46" t="str">
            <v>Not Executed</v>
          </cell>
        </row>
        <row r="47">
          <cell r="A47" t="str">
            <v>TC-046</v>
          </cell>
          <cell r="B47" t="str">
            <v>Search</v>
          </cell>
          <cell r="C47" t="str">
            <v>Advanced search by category</v>
          </cell>
          <cell r="D47" t="str">
            <v>Search page supports category filter</v>
          </cell>
          <cell r="E47" t="str">
            <v>Select category and search</v>
          </cell>
          <cell r="F47" t="str">
            <v>Results are limited to selected category</v>
          </cell>
          <cell r="G47" t="str">
            <v>Functional</v>
          </cell>
          <cell r="H47" t="str">
            <v>Medium</v>
          </cell>
          <cell r="I47" t="str">
            <v>Not Executed</v>
          </cell>
        </row>
        <row r="48">
          <cell r="A48" t="str">
            <v>TC-047</v>
          </cell>
          <cell r="B48" t="str">
            <v>Search</v>
          </cell>
          <cell r="C48" t="str">
            <v>Advanced search by manufacturer</v>
          </cell>
          <cell r="D48" t="str">
            <v>Search page supports manufacturer filter</v>
          </cell>
          <cell r="E48" t="str">
            <v>Select manufacturer and search</v>
          </cell>
          <cell r="F48" t="str">
            <v>Results match selected manufacturer</v>
          </cell>
          <cell r="G48" t="str">
            <v>Functional</v>
          </cell>
          <cell r="H48" t="str">
            <v>Medium</v>
          </cell>
          <cell r="I48" t="str">
            <v>Not Executed</v>
          </cell>
        </row>
        <row r="49">
          <cell r="A49" t="str">
            <v>TC-048</v>
          </cell>
          <cell r="B49" t="str">
            <v>Search</v>
          </cell>
          <cell r="C49" t="str">
            <v>Search product descriptions</v>
          </cell>
          <cell r="D49" t="str">
            <v>Advanced search available</v>
          </cell>
          <cell r="E49" t="str">
            <v>Enable description search and enter a description term</v>
          </cell>
          <cell r="F49" t="str">
            <v>Matching products are returned</v>
          </cell>
          <cell r="G49" t="str">
            <v>Functional</v>
          </cell>
          <cell r="H49" t="str">
            <v>Medium</v>
          </cell>
          <cell r="I49" t="str">
            <v>Not Executed</v>
          </cell>
        </row>
        <row r="50">
          <cell r="A50" t="str">
            <v>TC-049</v>
          </cell>
          <cell r="B50" t="str">
            <v>Search</v>
          </cell>
          <cell r="C50" t="str">
            <v>Search product tags</v>
          </cell>
          <cell r="D50" t="str">
            <v>Advanced search available</v>
          </cell>
          <cell r="E50" t="str">
            <v>Enable tag search and enter known tag</v>
          </cell>
          <cell r="F50" t="str">
            <v>Matching products are returned</v>
          </cell>
          <cell r="G50" t="str">
            <v>Functional</v>
          </cell>
          <cell r="H50" t="str">
            <v>Low</v>
          </cell>
          <cell r="I50" t="str">
            <v>Not Executed</v>
          </cell>
        </row>
        <row r="51">
          <cell r="A51" t="str">
            <v>TC-050</v>
          </cell>
          <cell r="B51" t="str">
            <v>Search</v>
          </cell>
          <cell r="C51" t="str">
            <v>Search pagination</v>
          </cell>
          <cell r="D51" t="str">
            <v>Multiple results available</v>
          </cell>
          <cell r="E51" t="str">
            <v>Move to next/previous result page</v>
          </cell>
          <cell r="F51" t="str">
            <v>Correct result page is displayed</v>
          </cell>
          <cell r="G51" t="str">
            <v>Functional</v>
          </cell>
          <cell r="H51" t="str">
            <v>Medium</v>
          </cell>
          <cell r="I51" t="str">
            <v>Pass</v>
          </cell>
          <cell r="J51" t="str">
            <v>Seared for "book" multiple results appeared i.e; "Apple MacBook Pro", "Samsung Premium Ultrabook", "HP Spectre XT Pro UltraBook" and when moved to nect page "HP Envy 15.6-Inch Sleekbook" was displayed and when moved to previous page older page with the actual results persisted.</v>
          </cell>
          <cell r="K51" t="str">
            <v>NA</v>
          </cell>
        </row>
        <row r="52">
          <cell r="A52" t="str">
            <v>TC-051</v>
          </cell>
          <cell r="B52" t="str">
            <v>Search</v>
          </cell>
          <cell r="C52" t="str">
            <v>Search result navigation</v>
          </cell>
          <cell r="D52" t="str">
            <v>Search results displayed</v>
          </cell>
          <cell r="E52" t="str">
            <v>Navigate results and return</v>
          </cell>
          <cell r="F52" t="str">
            <v>Search behavior remains consistent</v>
          </cell>
          <cell r="G52" t="str">
            <v>Functional</v>
          </cell>
          <cell r="H52" t="str">
            <v>Low</v>
          </cell>
          <cell r="I52" t="str">
            <v>Not Executed</v>
          </cell>
        </row>
        <row r="53">
          <cell r="A53" t="str">
            <v>TC-052</v>
          </cell>
          <cell r="B53" t="str">
            <v>Search</v>
          </cell>
          <cell r="C53" t="str">
            <v>Header search</v>
          </cell>
          <cell r="D53" t="str">
            <v>Any storefront page</v>
          </cell>
          <cell r="E53" t="str">
            <v>Enter keyword in header search and submit</v>
          </cell>
          <cell r="F53" t="str">
            <v>Search results page opens</v>
          </cell>
          <cell r="G53" t="str">
            <v>Navigation</v>
          </cell>
          <cell r="H53" t="str">
            <v>Medium</v>
          </cell>
          <cell r="I53" t="str">
            <v>Not Executed</v>
          </cell>
        </row>
        <row r="54">
          <cell r="A54" t="str">
            <v>TC-053</v>
          </cell>
          <cell r="B54" t="str">
            <v>Search</v>
          </cell>
          <cell r="C54" t="str">
            <v>Basic search responsiveness</v>
          </cell>
          <cell r="D54" t="str">
            <v>Catalog available</v>
          </cell>
          <cell r="E54" t="str">
            <v>Submit normal search and observe</v>
          </cell>
          <cell r="F54" t="str">
            <v>Search completes without obvious hang/error</v>
          </cell>
          <cell r="G54" t="str">
            <v>Smoke</v>
          </cell>
          <cell r="H54" t="str">
            <v>Medium</v>
          </cell>
          <cell r="I54" t="str">
            <v>Not Executed</v>
          </cell>
        </row>
        <row r="55">
          <cell r="A55" t="str">
            <v>TC-054</v>
          </cell>
          <cell r="B55" t="str">
            <v>Catalog</v>
          </cell>
          <cell r="C55" t="str">
            <v>Open Computers category</v>
          </cell>
          <cell r="D55" t="str">
            <v>Storefront available</v>
          </cell>
          <cell r="E55" t="str">
            <v>Open Computers category</v>
          </cell>
          <cell r="F55" t="str">
            <v>Category page loads with relevant products</v>
          </cell>
          <cell r="G55" t="str">
            <v>Functional</v>
          </cell>
          <cell r="H55" t="str">
            <v>High</v>
          </cell>
          <cell r="I55" t="str">
            <v>Pass</v>
          </cell>
          <cell r="J55" t="str">
            <v>When opened Categories, "Desktops", "Notebooks", "Software" categories appeared. When clicked on these categories, relevant products appeared.</v>
          </cell>
          <cell r="K55" t="str">
            <v>NA</v>
          </cell>
        </row>
        <row r="56">
          <cell r="A56" t="str">
            <v>TC-055</v>
          </cell>
          <cell r="B56" t="str">
            <v>Catalog</v>
          </cell>
          <cell r="C56" t="str">
            <v>Open Electronics category</v>
          </cell>
          <cell r="D56" t="str">
            <v>Storefront available</v>
          </cell>
          <cell r="E56" t="str">
            <v>Open Electronics category</v>
          </cell>
          <cell r="F56" t="str">
            <v>Category page loads with relevant products</v>
          </cell>
          <cell r="G56" t="str">
            <v>Functional</v>
          </cell>
          <cell r="H56" t="str">
            <v>High</v>
          </cell>
          <cell r="I56" t="str">
            <v>Not Executed</v>
          </cell>
        </row>
        <row r="57">
          <cell r="A57" t="str">
            <v>TC-056</v>
          </cell>
          <cell r="B57" t="str">
            <v>Catalog</v>
          </cell>
          <cell r="C57" t="str">
            <v>Open Apparel category</v>
          </cell>
          <cell r="D57" t="str">
            <v>Storefront available</v>
          </cell>
          <cell r="E57" t="str">
            <v>Open Apparel category</v>
          </cell>
          <cell r="F57" t="str">
            <v>Category page loads with relevant products</v>
          </cell>
          <cell r="G57" t="str">
            <v>Functional</v>
          </cell>
          <cell r="H57" t="str">
            <v>Medium</v>
          </cell>
          <cell r="I57" t="str">
            <v>Not Executed</v>
          </cell>
        </row>
        <row r="58">
          <cell r="A58" t="str">
            <v>TC-057</v>
          </cell>
          <cell r="B58" t="str">
            <v>Catalog</v>
          </cell>
          <cell r="C58" t="str">
            <v>Open Books category</v>
          </cell>
          <cell r="D58" t="str">
            <v>Storefront available</v>
          </cell>
          <cell r="E58" t="str">
            <v>Open Books category</v>
          </cell>
          <cell r="F58" t="str">
            <v>Category page loads with relevant products</v>
          </cell>
          <cell r="G58" t="str">
            <v>Functional</v>
          </cell>
          <cell r="H58" t="str">
            <v>Medium</v>
          </cell>
          <cell r="I58" t="str">
            <v>Not Executed</v>
          </cell>
        </row>
        <row r="59">
          <cell r="A59" t="str">
            <v>TC-058</v>
          </cell>
          <cell r="B59" t="str">
            <v>Catalog</v>
          </cell>
          <cell r="C59" t="str">
            <v>Open Jewelry category</v>
          </cell>
          <cell r="D59" t="str">
            <v>Storefront available</v>
          </cell>
          <cell r="E59" t="str">
            <v>Open Jewelry category</v>
          </cell>
          <cell r="F59" t="str">
            <v>Category page loads with relevant products</v>
          </cell>
          <cell r="G59" t="str">
            <v>Functional</v>
          </cell>
          <cell r="H59" t="str">
            <v>Medium</v>
          </cell>
          <cell r="I59" t="str">
            <v>Not Executed</v>
          </cell>
        </row>
        <row r="60">
          <cell r="A60" t="str">
            <v>TC-059</v>
          </cell>
          <cell r="B60" t="str">
            <v>Catalog</v>
          </cell>
          <cell r="C60" t="str">
            <v>Open Gift Cards category</v>
          </cell>
          <cell r="D60" t="str">
            <v>Storefront available</v>
          </cell>
          <cell r="E60" t="str">
            <v>Open Gift Cards category</v>
          </cell>
          <cell r="F60" t="str">
            <v>Category page loads correctly</v>
          </cell>
          <cell r="G60" t="str">
            <v>Functional</v>
          </cell>
          <cell r="H60" t="str">
            <v>Medium</v>
          </cell>
          <cell r="I60" t="str">
            <v>Not Executed</v>
          </cell>
        </row>
        <row r="61">
          <cell r="A61" t="str">
            <v>TC-060</v>
          </cell>
          <cell r="B61" t="str">
            <v>Catalog</v>
          </cell>
          <cell r="C61" t="str">
            <v>Open product details</v>
          </cell>
          <cell r="D61" t="str">
            <v>Category page displayed</v>
          </cell>
          <cell r="E61" t="str">
            <v>Click a product</v>
          </cell>
          <cell r="F61" t="str">
            <v>Product detail page opens</v>
          </cell>
          <cell r="G61" t="str">
            <v>Functional</v>
          </cell>
          <cell r="H61" t="str">
            <v>High</v>
          </cell>
          <cell r="I61" t="str">
            <v>Pass</v>
          </cell>
          <cell r="J61" t="str">
            <v>When clicked on "Computers" -&gt; "Desktops" -&gt; "Build Your own computer", Its details page successfully loads.</v>
          </cell>
          <cell r="K61" t="str">
            <v>NA</v>
          </cell>
        </row>
        <row r="62">
          <cell r="A62" t="str">
            <v>TC-061</v>
          </cell>
          <cell r="B62" t="str">
            <v>Catalog</v>
          </cell>
          <cell r="C62" t="str">
            <v>Product image</v>
          </cell>
          <cell r="D62" t="str">
            <v>Product detail page open</v>
          </cell>
          <cell r="E62" t="str">
            <v>Inspect product image</v>
          </cell>
          <cell r="F62" t="str">
            <v>Correct product image is displayed</v>
          </cell>
          <cell r="G62" t="str">
            <v>UI</v>
          </cell>
          <cell r="H62" t="str">
            <v>Low</v>
          </cell>
          <cell r="I62" t="str">
            <v>Pass</v>
          </cell>
          <cell r="J62" t="str">
            <v>Correct product image diapled on the details page.</v>
          </cell>
          <cell r="K62" t="str">
            <v>NA</v>
          </cell>
        </row>
        <row r="63">
          <cell r="A63" t="str">
            <v>TC-062</v>
          </cell>
          <cell r="B63" t="str">
            <v>Catalog</v>
          </cell>
          <cell r="C63" t="str">
            <v>Product price</v>
          </cell>
          <cell r="D63" t="str">
            <v>Product detail page open</v>
          </cell>
          <cell r="E63" t="str">
            <v>Inspect price</v>
          </cell>
          <cell r="F63" t="str">
            <v>Product price is displayed and formatted correctly</v>
          </cell>
          <cell r="G63" t="str">
            <v>Functional</v>
          </cell>
          <cell r="H63" t="str">
            <v>High</v>
          </cell>
          <cell r="I63" t="str">
            <v>Pass</v>
          </cell>
          <cell r="J63" t="str">
            <v>Product price displayed in a proper formatted manner.</v>
          </cell>
          <cell r="K63" t="str">
            <v>NA</v>
          </cell>
        </row>
        <row r="64">
          <cell r="A64" t="str">
            <v>TC-063</v>
          </cell>
          <cell r="B64" t="str">
            <v>Catalog</v>
          </cell>
          <cell r="C64" t="str">
            <v>Product information completeness</v>
          </cell>
          <cell r="D64" t="str">
            <v>Product detail page open</v>
          </cell>
          <cell r="E64" t="str">
            <v>Review title, description and available information</v>
          </cell>
          <cell r="F64" t="str">
            <v>Expected product information is displayed</v>
          </cell>
          <cell r="G64" t="str">
            <v>Functional</v>
          </cell>
          <cell r="H64" t="str">
            <v>Medium</v>
          </cell>
          <cell r="I64" t="str">
            <v>Not Executed</v>
          </cell>
        </row>
        <row r="65">
          <cell r="A65" t="str">
            <v>TC-064</v>
          </cell>
          <cell r="B65" t="str">
            <v>Catalog</v>
          </cell>
          <cell r="C65" t="str">
            <v>Home navigation</v>
          </cell>
          <cell r="D65" t="str">
            <v>Category page open</v>
          </cell>
          <cell r="E65" t="str">
            <v>Click Home/logo</v>
          </cell>
          <cell r="F65" t="str">
            <v>Homepage opens</v>
          </cell>
          <cell r="G65" t="str">
            <v>Navigation</v>
          </cell>
          <cell r="H65" t="str">
            <v>Medium</v>
          </cell>
          <cell r="I65" t="str">
            <v>Not Executed</v>
          </cell>
        </row>
        <row r="66">
          <cell r="A66" t="str">
            <v>TC-065</v>
          </cell>
          <cell r="B66" t="str">
            <v>Catalog</v>
          </cell>
          <cell r="C66" t="str">
            <v>Category navigation</v>
          </cell>
          <cell r="D66" t="str">
            <v>Storefront open</v>
          </cell>
          <cell r="E66" t="str">
            <v>Navigate categories through menu</v>
          </cell>
          <cell r="F66" t="str">
            <v>Selected category opens correctly</v>
          </cell>
          <cell r="G66" t="str">
            <v>Navigation</v>
          </cell>
          <cell r="H66" t="str">
            <v>Medium</v>
          </cell>
          <cell r="I66" t="str">
            <v>Not Executed</v>
          </cell>
        </row>
        <row r="67">
          <cell r="A67" t="str">
            <v>TC-066</v>
          </cell>
          <cell r="B67" t="str">
            <v>Catalog</v>
          </cell>
          <cell r="C67" t="str">
            <v>Manufacturer navigation</v>
          </cell>
          <cell r="D67" t="str">
            <v>Manufacturer data available</v>
          </cell>
          <cell r="E67" t="str">
            <v>Open a manufacturer and browse products</v>
          </cell>
          <cell r="F67" t="str">
            <v>Relevant products are displayed</v>
          </cell>
          <cell r="G67" t="str">
            <v>Functional</v>
          </cell>
          <cell r="H67" t="str">
            <v>Medium</v>
          </cell>
          <cell r="I67" t="str">
            <v>Not Executed</v>
          </cell>
        </row>
        <row r="68">
          <cell r="A68" t="str">
            <v>TC-067</v>
          </cell>
          <cell r="B68" t="str">
            <v>Catalog</v>
          </cell>
          <cell r="C68" t="str">
            <v>Recently viewed behavior</v>
          </cell>
          <cell r="D68" t="str">
            <v>Product viewed</v>
          </cell>
          <cell r="E68" t="str">
            <v>Return to storefront</v>
          </cell>
          <cell r="F68" t="str">
            <v>Recently viewed behavior matches configured application</v>
          </cell>
          <cell r="G68" t="str">
            <v>Functional</v>
          </cell>
          <cell r="H68" t="str">
            <v>Low</v>
          </cell>
          <cell r="I68" t="str">
            <v>Not Executed</v>
          </cell>
        </row>
        <row r="69">
          <cell r="A69" t="str">
            <v>TC-068</v>
          </cell>
          <cell r="B69" t="str">
            <v>Catalog</v>
          </cell>
          <cell r="C69" t="str">
            <v>Refresh listing page</v>
          </cell>
          <cell r="D69" t="str">
            <v>Category page open</v>
          </cell>
          <cell r="E69" t="str">
            <v>Refresh page</v>
          </cell>
          <cell r="F69" t="str">
            <v>Page reloads without error</v>
          </cell>
          <cell r="G69" t="str">
            <v>Smoke</v>
          </cell>
          <cell r="H69" t="str">
            <v>Low</v>
          </cell>
          <cell r="I69" t="str">
            <v>Pass</v>
          </cell>
          <cell r="J69" t="str">
            <v>Page reloaded successfully without any error</v>
          </cell>
          <cell r="K69" t="str">
            <v>NA</v>
          </cell>
        </row>
        <row r="70">
          <cell r="A70" t="str">
            <v>TC-069</v>
          </cell>
          <cell r="B70" t="str">
            <v>Wishlist</v>
          </cell>
          <cell r="C70" t="str">
            <v>Add product to wishlist</v>
          </cell>
          <cell r="D70" t="str">
            <v>Product available</v>
          </cell>
          <cell r="E70" t="str">
            <v>Click Add to wishlist</v>
          </cell>
          <cell r="F70" t="str">
            <v>Product is added or login requirement is shown</v>
          </cell>
          <cell r="G70" t="str">
            <v>Functional</v>
          </cell>
          <cell r="H70" t="str">
            <v>High</v>
          </cell>
          <cell r="I70" t="str">
            <v>Pass</v>
          </cell>
          <cell r="J70" t="str">
            <v>Product was added to the whishlist successfully.</v>
          </cell>
          <cell r="K70" t="str">
            <v>NA</v>
          </cell>
        </row>
        <row r="71">
          <cell r="A71" t="str">
            <v>TC-070</v>
          </cell>
          <cell r="B71" t="str">
            <v>Wishlist</v>
          </cell>
          <cell r="C71" t="str">
            <v>Remove product from wishlist</v>
          </cell>
          <cell r="D71" t="str">
            <v>Product exists in wishlist</v>
          </cell>
          <cell r="E71" t="str">
            <v>Remove item</v>
          </cell>
          <cell r="F71" t="str">
            <v>Item is removed</v>
          </cell>
          <cell r="G71" t="str">
            <v>Functional</v>
          </cell>
          <cell r="H71" t="str">
            <v>High</v>
          </cell>
          <cell r="I71" t="str">
            <v>Not Executed</v>
          </cell>
        </row>
        <row r="72">
          <cell r="A72" t="str">
            <v>TC-071</v>
          </cell>
          <cell r="B72" t="str">
            <v>Wishlist</v>
          </cell>
          <cell r="C72" t="str">
            <v>Wishlist count</v>
          </cell>
          <cell r="D72" t="str">
            <v>Wishlist action performed</v>
          </cell>
          <cell r="E72" t="str">
            <v>Observe wishlist indicator</v>
          </cell>
          <cell r="F72" t="str">
            <v>Count updates consistently</v>
          </cell>
          <cell r="G72" t="str">
            <v>Functional</v>
          </cell>
          <cell r="H72" t="str">
            <v>Medium</v>
          </cell>
          <cell r="I72" t="str">
            <v>Not Executed</v>
          </cell>
        </row>
        <row r="73">
          <cell r="A73" t="str">
            <v>TC-072</v>
          </cell>
          <cell r="B73" t="str">
            <v>Wishlist</v>
          </cell>
          <cell r="C73" t="str">
            <v>Open wishlist</v>
          </cell>
          <cell r="D73" t="str">
            <v>Storefront open</v>
          </cell>
          <cell r="E73" t="str">
            <v>Click Wishlist</v>
          </cell>
          <cell r="F73" t="str">
            <v>Wishlist page opens</v>
          </cell>
          <cell r="G73" t="str">
            <v>Navigation</v>
          </cell>
          <cell r="H73" t="str">
            <v>Medium</v>
          </cell>
          <cell r="I73" t="str">
            <v>Pass</v>
          </cell>
          <cell r="J73" t="str">
            <v>Whishlist pages opens successfully and whishlisted products are displayed properly.</v>
          </cell>
          <cell r="K73" t="str">
            <v>NA</v>
          </cell>
        </row>
        <row r="74">
          <cell r="A74" t="str">
            <v>TC-073</v>
          </cell>
          <cell r="B74" t="str">
            <v>Wishlist</v>
          </cell>
          <cell r="C74" t="str">
            <v>Duplicate wishlist item</v>
          </cell>
          <cell r="D74" t="str">
            <v>Product available</v>
          </cell>
          <cell r="E74" t="str">
            <v>Attempt to add same product repeatedly</v>
          </cell>
          <cell r="F74" t="str">
            <v>Duplicates are handled according to configured behavior</v>
          </cell>
          <cell r="G74" t="str">
            <v>Negative</v>
          </cell>
          <cell r="H74" t="str">
            <v>Medium</v>
          </cell>
          <cell r="I74" t="str">
            <v>Not Executed</v>
          </cell>
        </row>
        <row r="75">
          <cell r="A75" t="str">
            <v>TC-074</v>
          </cell>
          <cell r="B75" t="str">
            <v>Wishlist</v>
          </cell>
          <cell r="C75" t="str">
            <v>Empty wishlist state</v>
          </cell>
          <cell r="D75" t="str">
            <v>Wishlist empty</v>
          </cell>
          <cell r="E75" t="str">
            <v>Open wishlist</v>
          </cell>
          <cell r="F75" t="str">
            <v>Empty state displays correctly</v>
          </cell>
          <cell r="G75" t="str">
            <v>Functional</v>
          </cell>
          <cell r="H75" t="str">
            <v>Low</v>
          </cell>
          <cell r="I75" t="str">
            <v>Not Executed</v>
          </cell>
        </row>
        <row r="76">
          <cell r="A76" t="str">
            <v>TC-075</v>
          </cell>
          <cell r="B76" t="str">
            <v>Compare</v>
          </cell>
          <cell r="C76" t="str">
            <v>Add product to compare</v>
          </cell>
          <cell r="D76" t="str">
            <v>Product available</v>
          </cell>
          <cell r="E76" t="str">
            <v>Click Add to compare</v>
          </cell>
          <cell r="F76" t="str">
            <v>Product is added to comparison</v>
          </cell>
          <cell r="G76" t="str">
            <v>Functional</v>
          </cell>
          <cell r="H76" t="str">
            <v>Medium</v>
          </cell>
          <cell r="I76" t="str">
            <v>Pass</v>
          </cell>
          <cell r="J76" t="str">
            <v>Products were added to the Compare Products and compared side by side.</v>
          </cell>
          <cell r="K76" t="str">
            <v>NA</v>
          </cell>
        </row>
        <row r="77">
          <cell r="A77" t="str">
            <v>TC-076</v>
          </cell>
          <cell r="B77" t="str">
            <v>Compare</v>
          </cell>
          <cell r="C77" t="str">
            <v>Add multiple products</v>
          </cell>
          <cell r="D77" t="str">
            <v>Multiple products available</v>
          </cell>
          <cell r="E77" t="str">
            <v>Add two or more products</v>
          </cell>
          <cell r="F77" t="str">
            <v>Selected products appear in comparison</v>
          </cell>
          <cell r="G77" t="str">
            <v>Functional</v>
          </cell>
          <cell r="H77" t="str">
            <v>Medium</v>
          </cell>
          <cell r="I77" t="str">
            <v>Pass</v>
          </cell>
          <cell r="J77" t="str">
            <v>Multiple products were added to the Compare Products and compared side by side.</v>
          </cell>
          <cell r="K77" t="str">
            <v>NA</v>
          </cell>
        </row>
        <row r="78">
          <cell r="A78" t="str">
            <v>TC-077</v>
          </cell>
          <cell r="B78" t="str">
            <v>Compare</v>
          </cell>
          <cell r="C78" t="str">
            <v>Open comparison</v>
          </cell>
          <cell r="D78" t="str">
            <v>Products selected</v>
          </cell>
          <cell r="E78" t="str">
            <v>Open compare products</v>
          </cell>
          <cell r="F78" t="str">
            <v>Comparison page opens</v>
          </cell>
          <cell r="G78" t="str">
            <v>Navigation</v>
          </cell>
          <cell r="H78" t="str">
            <v>Medium</v>
          </cell>
          <cell r="I78" t="str">
            <v>Not Executed</v>
          </cell>
        </row>
        <row r="79">
          <cell r="A79" t="str">
            <v>TC-078</v>
          </cell>
          <cell r="B79" t="str">
            <v>Compare</v>
          </cell>
          <cell r="C79" t="str">
            <v>Remove comparison item</v>
          </cell>
          <cell r="D79" t="str">
            <v>Comparison contains products</v>
          </cell>
          <cell r="E79" t="str">
            <v>Remove one product</v>
          </cell>
          <cell r="F79" t="str">
            <v>Selected product is removed</v>
          </cell>
          <cell r="G79" t="str">
            <v>Functional</v>
          </cell>
          <cell r="H79" t="str">
            <v>Medium</v>
          </cell>
          <cell r="I79" t="str">
            <v>Pass</v>
          </cell>
          <cell r="J79" t="str">
            <v>The product was removed from compare list when clicked on  "Remove" with any error.</v>
          </cell>
          <cell r="K79" t="str">
            <v>NA</v>
          </cell>
        </row>
        <row r="80">
          <cell r="A80" t="str">
            <v>TC-079</v>
          </cell>
          <cell r="B80" t="str">
            <v>Compare</v>
          </cell>
          <cell r="C80" t="str">
            <v>Compare data alignment</v>
          </cell>
          <cell r="D80" t="str">
            <v>Two comparable products</v>
          </cell>
          <cell r="E80" t="str">
            <v>Compare products</v>
          </cell>
          <cell r="F80" t="str">
            <v>Attributes align with correct products</v>
          </cell>
          <cell r="G80" t="str">
            <v>Functional</v>
          </cell>
          <cell r="H80" t="str">
            <v>Medium</v>
          </cell>
          <cell r="I80" t="str">
            <v>Not Executed</v>
          </cell>
        </row>
        <row r="81">
          <cell r="A81" t="str">
            <v>TC-080</v>
          </cell>
          <cell r="B81" t="str">
            <v>Cart</v>
          </cell>
          <cell r="C81" t="str">
            <v>Add product to cart</v>
          </cell>
          <cell r="D81" t="str">
            <v>Product available</v>
          </cell>
          <cell r="E81" t="str">
            <v>Click Add to cart</v>
          </cell>
          <cell r="F81" t="str">
            <v>Product is added to cart</v>
          </cell>
          <cell r="G81" t="str">
            <v>Functional</v>
          </cell>
          <cell r="H81" t="str">
            <v>High</v>
          </cell>
          <cell r="I81" t="str">
            <v>Pass</v>
          </cell>
          <cell r="J81" t="str">
            <v>Products were added to the cart successfully.</v>
          </cell>
          <cell r="K81" t="str">
            <v>NA</v>
          </cell>
        </row>
        <row r="82">
          <cell r="A82" t="str">
            <v>TC-081</v>
          </cell>
          <cell r="B82" t="str">
            <v>Cart</v>
          </cell>
          <cell r="C82" t="str">
            <v>Cart count updates</v>
          </cell>
          <cell r="D82" t="str">
            <v>Product added</v>
          </cell>
          <cell r="E82" t="str">
            <v>Observe cart indicator</v>
          </cell>
          <cell r="F82" t="str">
            <v>Cart count reflects item quantity</v>
          </cell>
          <cell r="G82" t="str">
            <v>Functional</v>
          </cell>
          <cell r="H82" t="str">
            <v>High</v>
          </cell>
          <cell r="I82" t="str">
            <v>Pass</v>
          </cell>
          <cell r="J82" t="str">
            <v>Increased the product quantity to 4. The cart count updated accordingly and remained correct after closing and reopening the cart.</v>
          </cell>
          <cell r="K82" t="str">
            <v>NA</v>
          </cell>
        </row>
        <row r="83">
          <cell r="A83" t="str">
            <v>TC-082</v>
          </cell>
          <cell r="B83" t="str">
            <v>Cart</v>
          </cell>
          <cell r="C83" t="str">
            <v>Open cart</v>
          </cell>
          <cell r="D83" t="str">
            <v>Cart contains item</v>
          </cell>
          <cell r="E83" t="str">
            <v>Click Shopping cart</v>
          </cell>
          <cell r="F83" t="str">
            <v>Cart page opens with selected item</v>
          </cell>
          <cell r="G83" t="str">
            <v>Functional</v>
          </cell>
          <cell r="H83" t="str">
            <v>High</v>
          </cell>
          <cell r="I83" t="str">
            <v>Pass</v>
          </cell>
          <cell r="J83" t="str">
            <v>Cart opened and added ites showed up properly.</v>
          </cell>
          <cell r="K83" t="str">
            <v>NA</v>
          </cell>
        </row>
        <row r="84">
          <cell r="A84" t="str">
            <v>TC-083</v>
          </cell>
          <cell r="B84" t="str">
            <v>Cart</v>
          </cell>
          <cell r="C84" t="str">
            <v>Increase quantity</v>
          </cell>
          <cell r="D84" t="str">
            <v>Cart contains item</v>
          </cell>
          <cell r="E84" t="str">
            <v>Change the quantity to a higher valid value and update the cart.</v>
          </cell>
          <cell r="F84" t="str">
            <v>Quantity and total update correctly</v>
          </cell>
          <cell r="G84" t="str">
            <v>Functional</v>
          </cell>
          <cell r="H84" t="str">
            <v>High</v>
          </cell>
          <cell r="I84" t="str">
            <v>Pass</v>
          </cell>
          <cell r="J84" t="str">
            <v>Quantity was increased to 10,000 and the estimated total amount was updated accordingly. No maximum quantity restriction was displayed.</v>
          </cell>
          <cell r="K84" t="str">
            <v>NA</v>
          </cell>
        </row>
        <row r="85">
          <cell r="A85" t="str">
            <v>TC-084</v>
          </cell>
          <cell r="B85" t="str">
            <v>Cart</v>
          </cell>
          <cell r="C85" t="str">
            <v>Decrease quantity</v>
          </cell>
          <cell r="D85" t="str">
            <v>Cart contains multiple quantity</v>
          </cell>
          <cell r="E85" t="str">
            <v>Change quantity to lower valid value and update</v>
          </cell>
          <cell r="F85" t="str">
            <v>Quantity and total update correctly</v>
          </cell>
          <cell r="G85" t="str">
            <v>Functional</v>
          </cell>
          <cell r="H85" t="str">
            <v>High</v>
          </cell>
          <cell r="I85" t="str">
            <v>Not Executed</v>
          </cell>
        </row>
        <row r="86">
          <cell r="A86" t="str">
            <v>TC-085</v>
          </cell>
          <cell r="B86" t="str">
            <v>Cart</v>
          </cell>
          <cell r="C86" t="str">
            <v>Remove item</v>
          </cell>
          <cell r="D86" t="str">
            <v>Cart contains item</v>
          </cell>
          <cell r="E86" t="str">
            <v>Remove item and update if required</v>
          </cell>
          <cell r="F86" t="str">
            <v>Item is removed and totals recalculate</v>
          </cell>
          <cell r="G86" t="str">
            <v>Functional</v>
          </cell>
          <cell r="H86" t="str">
            <v>High</v>
          </cell>
          <cell r="I86" t="str">
            <v>Pass</v>
          </cell>
          <cell r="J86" t="str">
            <v>Item was successfully removed from the cart. The item count and total price were recalculated and updated accordingly.</v>
          </cell>
          <cell r="K86" t="str">
            <v>NA</v>
          </cell>
        </row>
        <row r="87">
          <cell r="A87" t="str">
            <v>TC-086</v>
          </cell>
          <cell r="B87" t="str">
            <v>Cart</v>
          </cell>
          <cell r="C87" t="str">
            <v>Multiple products</v>
          </cell>
          <cell r="D87" t="str">
            <v>Two products available</v>
          </cell>
          <cell r="E87" t="str">
            <v>Add multiple products</v>
          </cell>
          <cell r="F87" t="str">
            <v>All selected products appear with correct quantities</v>
          </cell>
          <cell r="G87" t="str">
            <v>Functional</v>
          </cell>
          <cell r="H87" t="str">
            <v>High</v>
          </cell>
          <cell r="I87" t="str">
            <v>Pass</v>
          </cell>
          <cell r="J87" t="str">
            <v>Multiple products were added to the cart. Each product displayed the correct quantity, and the corresponding totals were updated correctly.</v>
          </cell>
          <cell r="K87" t="str">
            <v>NA</v>
          </cell>
        </row>
        <row r="88">
          <cell r="A88" t="str">
            <v>TC-087</v>
          </cell>
          <cell r="B88" t="str">
            <v>Cart</v>
          </cell>
          <cell r="C88" t="str">
            <v>Subtotal calculation</v>
          </cell>
          <cell r="D88" t="str">
            <v>Cart contains priced items</v>
          </cell>
          <cell r="E88" t="str">
            <v>Compare line totals and subtotal</v>
          </cell>
          <cell r="F88" t="str">
            <v>Subtotal equals expected calculation</v>
          </cell>
          <cell r="G88" t="str">
            <v>Functional</v>
          </cell>
          <cell r="H88" t="str">
            <v>High</v>
          </cell>
          <cell r="I88" t="str">
            <v>Pass</v>
          </cell>
          <cell r="J88" t="str">
            <v>Subtotal was recalculated correctly based on the product price and quantity.</v>
          </cell>
          <cell r="K88" t="str">
            <v>NA</v>
          </cell>
        </row>
        <row r="89">
          <cell r="A89" t="str">
            <v>TC-088</v>
          </cell>
          <cell r="B89" t="str">
            <v>Cart</v>
          </cell>
          <cell r="C89" t="str">
            <v>Invalid quantity</v>
          </cell>
          <cell r="D89" t="str">
            <v>Cart contains item</v>
          </cell>
          <cell r="E89" t="str">
            <v>Enter zero/negative/non-numeric quantity where editable</v>
          </cell>
          <cell r="F89" t="str">
            <v>Invalid quantity is rejected/validated</v>
          </cell>
          <cell r="G89" t="str">
            <v>Negative</v>
          </cell>
          <cell r="H89" t="str">
            <v>High</v>
          </cell>
          <cell r="I89" t="str">
            <v>Not Executed</v>
          </cell>
        </row>
        <row r="90">
          <cell r="A90" t="str">
            <v>TC-089</v>
          </cell>
          <cell r="B90" t="str">
            <v>Cart</v>
          </cell>
          <cell r="C90" t="str">
            <v>Continue shopping</v>
          </cell>
          <cell r="D90" t="str">
            <v>Cart page open</v>
          </cell>
          <cell r="E90" t="str">
            <v>Click Continue shopping</v>
          </cell>
          <cell r="F90" t="str">
            <v>User returns to catalog/storefront</v>
          </cell>
          <cell r="G90" t="str">
            <v>Navigation</v>
          </cell>
          <cell r="H90" t="str">
            <v>Medium</v>
          </cell>
          <cell r="I90" t="str">
            <v>Not Executed</v>
          </cell>
        </row>
        <row r="91">
          <cell r="A91" t="str">
            <v>TC-090</v>
          </cell>
          <cell r="B91" t="str">
            <v>Cart</v>
          </cell>
          <cell r="C91" t="str">
            <v>Cart persistence after refresh</v>
          </cell>
          <cell r="D91" t="str">
            <v>Cart contains item</v>
          </cell>
          <cell r="E91" t="str">
            <v>Refresh cart page</v>
          </cell>
          <cell r="F91" t="str">
            <v>Cart state remains consistent</v>
          </cell>
          <cell r="G91" t="str">
            <v>Functional</v>
          </cell>
          <cell r="H91" t="str">
            <v>Medium</v>
          </cell>
          <cell r="I91" t="str">
            <v>Not Executed</v>
          </cell>
        </row>
        <row r="92">
          <cell r="A92" t="str">
            <v>TC-091</v>
          </cell>
          <cell r="B92" t="str">
            <v>Cart</v>
          </cell>
          <cell r="C92" t="str">
            <v>Empty cart state</v>
          </cell>
          <cell r="D92" t="str">
            <v>Cart contains removable item</v>
          </cell>
          <cell r="E92" t="str">
            <v>Remove all items</v>
          </cell>
          <cell r="F92" t="str">
            <v>Empty-cart state is displayed</v>
          </cell>
          <cell r="G92" t="str">
            <v>Functional</v>
          </cell>
          <cell r="H92" t="str">
            <v>Medium</v>
          </cell>
          <cell r="I92" t="str">
            <v>Not Executed</v>
          </cell>
        </row>
        <row r="93">
          <cell r="A93" t="str">
            <v>TC-092</v>
          </cell>
          <cell r="B93" t="str">
            <v>Cart</v>
          </cell>
          <cell r="C93" t="str">
            <v>Proceed to checkout</v>
          </cell>
          <cell r="D93" t="str">
            <v>Cart contains eligible item</v>
          </cell>
          <cell r="E93" t="str">
            <v>Click Checkout</v>
          </cell>
          <cell r="F93" t="str">
            <v>Checkout begins or prerequisite is shown</v>
          </cell>
          <cell r="G93" t="str">
            <v>Functional</v>
          </cell>
          <cell r="H93" t="str">
            <v>High</v>
          </cell>
          <cell r="I93" t="str">
            <v>Pass</v>
          </cell>
          <cell r="J93" t="str">
            <v>When proceeding to checkout without login, the login page was displayed. After login, checkout proceeded with the selected items and correct item count, and the user was redirected to the shipping address page.</v>
          </cell>
          <cell r="K93" t="str">
            <v>NA</v>
          </cell>
        </row>
        <row r="94">
          <cell r="A94" t="str">
            <v>TC-093</v>
          </cell>
          <cell r="B94" t="str">
            <v>Cart</v>
          </cell>
          <cell r="C94" t="str">
            <v>Estimate shipping</v>
          </cell>
          <cell r="D94" t="str">
            <v>Cart page supports estimate shipping</v>
          </cell>
          <cell r="E94" t="str">
            <v>Enter address data and estimate</v>
          </cell>
          <cell r="F94" t="str">
            <v>Shipping estimate behavior is correct</v>
          </cell>
          <cell r="G94" t="str">
            <v>Functional</v>
          </cell>
          <cell r="H94" t="str">
            <v>Medium</v>
          </cell>
          <cell r="I94" t="str">
            <v>Not Executed</v>
          </cell>
        </row>
        <row r="95">
          <cell r="A95" t="str">
            <v>TC-094</v>
          </cell>
          <cell r="B95" t="str">
            <v>Checkout</v>
          </cell>
          <cell r="C95" t="str">
            <v>Checkout with registered user</v>
          </cell>
          <cell r="D95" t="str">
            <v>Registered user with cart item</v>
          </cell>
          <cell r="E95" t="str">
            <v>Start checkout and complete required steps using valid test data</v>
          </cell>
          <cell r="F95" t="str">
            <v>Checkout progresses through configured workflow</v>
          </cell>
          <cell r="G95" t="str">
            <v>Functional</v>
          </cell>
          <cell r="H95" t="str">
            <v>High</v>
          </cell>
          <cell r="I95" t="str">
            <v>Pass</v>
          </cell>
          <cell r="J95" t="str">
            <v>Checkout progressed successfully through the configured workflow. Selected items and quantities were retained, login validation was completed, the shipping address page was displayed, and payment options (Cash/Cheque and Card) were available. The final order preview displayed the checkout details, and the order was successfully placed. After order completion, the Orders and Continue buttons were displayed. Clicking Continue redirected to the website homepage.</v>
          </cell>
          <cell r="K95" t="str">
            <v>NA</v>
          </cell>
        </row>
        <row r="96">
          <cell r="A96" t="str">
            <v>TC-095</v>
          </cell>
          <cell r="B96" t="str">
            <v>Checkout</v>
          </cell>
          <cell r="C96" t="str">
            <v>Missing billing data</v>
          </cell>
          <cell r="D96" t="str">
            <v>Billing data required</v>
          </cell>
          <cell r="E96" t="str">
            <v>Leave required fields blank and continue</v>
          </cell>
          <cell r="F96" t="str">
            <v>Required validation is displayed</v>
          </cell>
          <cell r="G96" t="str">
            <v>Negative</v>
          </cell>
          <cell r="H96" t="str">
            <v>High</v>
          </cell>
          <cell r="I96" t="str">
            <v>Pass</v>
          </cell>
          <cell r="J96" t="str">
            <v>Validation messages were displayed for the required fields: "City is required", "Street address is required", "Country is required", "Phone is required", and "Zip / postal code is required". Checkout was prevented from proceeding.</v>
          </cell>
          <cell r="K96" t="str">
            <v>NA</v>
          </cell>
        </row>
        <row r="97">
          <cell r="A97" t="str">
            <v>TC-096</v>
          </cell>
          <cell r="B97" t="str">
            <v>Checkout</v>
          </cell>
          <cell r="C97" t="str">
            <v>Invalid postal/ZIP</v>
          </cell>
          <cell r="D97" t="str">
            <v>Checkout address step available</v>
          </cell>
          <cell r="E97" t="str">
            <v>Enter invalid postal/ZIP value</v>
          </cell>
          <cell r="F97" t="str">
            <v>Validation is displayed or value rejected</v>
          </cell>
          <cell r="G97" t="str">
            <v>Negative</v>
          </cell>
          <cell r="H97" t="str">
            <v>Medium</v>
          </cell>
          <cell r="I97" t="str">
            <v>Not Executed</v>
          </cell>
        </row>
        <row r="98">
          <cell r="A98" t="str">
            <v>TC-097</v>
          </cell>
          <cell r="B98" t="str">
            <v>Checkout</v>
          </cell>
          <cell r="C98" t="str">
            <v>Shipping method selection</v>
          </cell>
          <cell r="D98" t="str">
            <v>Shipping methods available</v>
          </cell>
          <cell r="E98" t="str">
            <v>Select shipping option</v>
          </cell>
          <cell r="F98" t="str">
            <v>Selected method is retained and totals update if applicable</v>
          </cell>
          <cell r="G98" t="str">
            <v>Functional</v>
          </cell>
          <cell r="H98" t="str">
            <v>High</v>
          </cell>
          <cell r="I98" t="str">
            <v>Pass</v>
          </cell>
          <cell r="J98" t="str">
            <v>Selected "Next Day Air(The one day air shipping)"and it retained through the checkout process as shipping method. Continue button appeared to move next.</v>
          </cell>
          <cell r="K98" t="str">
            <v>NA</v>
          </cell>
        </row>
        <row r="99">
          <cell r="A99" t="str">
            <v>TC-098</v>
          </cell>
          <cell r="B99" t="str">
            <v>Checkout</v>
          </cell>
          <cell r="C99" t="str">
            <v>Payment method selection</v>
          </cell>
          <cell r="D99" t="str">
            <v>Payment options available</v>
          </cell>
          <cell r="E99" t="str">
            <v>Select payment method</v>
          </cell>
          <cell r="F99" t="str">
            <v>Selected method is retained and next step available</v>
          </cell>
          <cell r="G99" t="str">
            <v>Functional</v>
          </cell>
          <cell r="H99" t="str">
            <v>High</v>
          </cell>
          <cell r="I99" t="str">
            <v>Pass</v>
          </cell>
          <cell r="J99" t="str">
            <v>Selected "Credit Card(Pay by credit/ debit card)"and it retained through the checkout process as payment method. Continue button appeared to move next, when proceeded, was asked to fillcredit card details.</v>
          </cell>
          <cell r="K99" t="str">
            <v>NA</v>
          </cell>
        </row>
        <row r="100">
          <cell r="A100" t="str">
            <v>TC-099</v>
          </cell>
          <cell r="B100" t="str">
            <v>Checkout</v>
          </cell>
          <cell r="C100" t="str">
            <v>Order total consistency</v>
          </cell>
          <cell r="D100" t="str">
            <v>Checkout summary available</v>
          </cell>
          <cell r="E100" t="str">
            <v>Compare product, shipping, tax and final total values</v>
          </cell>
          <cell r="F100" t="str">
            <v>Totals are consistent across checkout steps</v>
          </cell>
          <cell r="G100" t="str">
            <v>Functional</v>
          </cell>
          <cell r="H100" t="str">
            <v>High</v>
          </cell>
          <cell r="I100" t="str">
            <v>Pass</v>
          </cell>
          <cell r="J100" t="str">
            <v>Order total remained consistent throughout the checkout process. Product, shipping, tax, and final order total values were calculated and displayed correctly.</v>
          </cell>
          <cell r="K100" t="str">
            <v>NA</v>
          </cell>
        </row>
        <row r="101">
          <cell r="A101" t="str">
            <v>TC-100</v>
          </cell>
          <cell r="B101" t="str">
            <v>Checkout</v>
          </cell>
          <cell r="C101" t="str">
            <v>Terms acceptance validation</v>
          </cell>
          <cell r="D101" t="str">
            <v>Terms acceptance required</v>
          </cell>
          <cell r="E101" t="str">
            <v>Continue without accepting required terms</v>
          </cell>
          <cell r="F101" t="str">
            <v>Checkout is blocked with appropriate validation</v>
          </cell>
          <cell r="G101" t="str">
            <v>Negative</v>
          </cell>
          <cell r="H101" t="str">
            <v>High</v>
          </cell>
          <cell r="I101" t="str">
            <v>Pass</v>
          </cell>
          <cell r="J101" t="str">
            <v>A validation pop-up was displayed stating, "Please accept the terms of service before the next step." Checkout was prevented from proceeding.</v>
          </cell>
          <cell r="K101" t="str">
            <v>NA</v>
          </cell>
        </row>
        <row r="102">
          <cell r="A102" t="str">
            <v>TC-101</v>
          </cell>
          <cell r="B102" t="str">
            <v>Checkout</v>
          </cell>
          <cell r="C102" t="str">
            <v>Review order</v>
          </cell>
          <cell r="D102" t="str">
            <v>Review step available</v>
          </cell>
          <cell r="E102" t="str">
            <v>Review product, quantity, address and totals</v>
          </cell>
          <cell r="F102" t="str">
            <v>Review data matches selections</v>
          </cell>
          <cell r="G102" t="str">
            <v>Functional</v>
          </cell>
          <cell r="H102" t="str">
            <v>High</v>
          </cell>
          <cell r="I102" t="str">
            <v>Not Executed</v>
          </cell>
        </row>
        <row r="103">
          <cell r="A103" t="str">
            <v>TC-102</v>
          </cell>
          <cell r="B103" t="str">
            <v>Checkout</v>
          </cell>
          <cell r="C103" t="str">
            <v>Order confirmation</v>
          </cell>
          <cell r="D103" t="str">
            <v>Valid checkout flow supported</v>
          </cell>
          <cell r="E103" t="str">
            <v>Submit order where demo permits</v>
          </cell>
          <cell r="F103" t="str">
            <v>Order confirmation/completion state is displayed</v>
          </cell>
          <cell r="G103" t="str">
            <v>Functional</v>
          </cell>
          <cell r="H103" t="str">
            <v>High</v>
          </cell>
          <cell r="I103" t="str">
            <v>Not Executed</v>
          </cell>
        </row>
        <row r="104">
          <cell r="A104" t="str">
            <v>TC-103</v>
          </cell>
          <cell r="B104" t="str">
            <v>Checkout</v>
          </cell>
          <cell r="C104" t="str">
            <v>Back navigation</v>
          </cell>
          <cell r="D104" t="str">
            <v>Checkout in progress</v>
          </cell>
          <cell r="E104" t="str">
            <v>Use Back/navigation between steps</v>
          </cell>
          <cell r="F104" t="str">
            <v>Data and workflow behave consistently</v>
          </cell>
          <cell r="G104" t="str">
            <v>Navigation</v>
          </cell>
          <cell r="H104" t="str">
            <v>Medium</v>
          </cell>
          <cell r="I104" t="str">
            <v>Not Executed</v>
          </cell>
        </row>
        <row r="105">
          <cell r="A105" t="str">
            <v>TC-104</v>
          </cell>
          <cell r="B105" t="str">
            <v>Checkout</v>
          </cell>
          <cell r="C105" t="str">
            <v>Cart state after order</v>
          </cell>
          <cell r="D105" t="str">
            <v>Order successfully completed</v>
          </cell>
          <cell r="E105" t="str">
            <v>Return to cart/account</v>
          </cell>
          <cell r="F105" t="str">
            <v>Cart/order state reflects completed transaction</v>
          </cell>
          <cell r="G105" t="str">
            <v>Functional</v>
          </cell>
          <cell r="H105" t="str">
            <v>Medium</v>
          </cell>
          <cell r="I105" t="str">
            <v>Not Executed</v>
          </cell>
        </row>
        <row r="106">
          <cell r="A106" t="str">
            <v>TC-105</v>
          </cell>
          <cell r="B106" t="str">
            <v>Smoke</v>
          </cell>
          <cell r="C106" t="str">
            <v>Homepage loads</v>
          </cell>
          <cell r="D106" t="str">
            <v>Application URL accessible</v>
          </cell>
          <cell r="E106" t="str">
            <v>Open homepage</v>
          </cell>
          <cell r="F106" t="str">
            <v>Homepage loads without blocking error</v>
          </cell>
          <cell r="G106" t="str">
            <v>Smoke</v>
          </cell>
          <cell r="H106" t="str">
            <v>High</v>
          </cell>
          <cell r="I106" t="str">
            <v>Pass</v>
          </cell>
          <cell r="J106" t="str">
            <v>Homepage loaded successfully without any blocking error when the application URL was entered in the browser address bar.</v>
          </cell>
          <cell r="K106" t="str">
            <v>NA</v>
          </cell>
        </row>
        <row r="107">
          <cell r="A107" t="str">
            <v>TC-106</v>
          </cell>
          <cell r="B107" t="str">
            <v>Smoke</v>
          </cell>
          <cell r="C107" t="str">
            <v>Main navigation works</v>
          </cell>
          <cell r="D107" t="str">
            <v>Homepage loaded</v>
          </cell>
          <cell r="E107" t="str">
            <v>Open major navigation links</v>
          </cell>
          <cell r="F107" t="str">
            <v>Target pages load successfully</v>
          </cell>
          <cell r="G107" t="str">
            <v>Smoke</v>
          </cell>
          <cell r="H107" t="str">
            <v>High</v>
          </cell>
          <cell r="I107" t="str">
            <v>Pass</v>
          </cell>
          <cell r="J107" t="str">
            <v>Major navigation links opened successfully and target pages loaded without any errors.</v>
          </cell>
          <cell r="K107" t="str">
            <v>NA</v>
          </cell>
        </row>
        <row r="108">
          <cell r="A108" t="str">
            <v>TC-107</v>
          </cell>
          <cell r="B108" t="str">
            <v>Smoke</v>
          </cell>
          <cell r="C108" t="str">
            <v>Register page accessible</v>
          </cell>
          <cell r="D108" t="str">
            <v>Homepage loaded</v>
          </cell>
          <cell r="E108" t="str">
            <v>Click Register</v>
          </cell>
          <cell r="F108" t="str">
            <v>Register page loads</v>
          </cell>
          <cell r="G108" t="str">
            <v>Smoke</v>
          </cell>
          <cell r="H108" t="str">
            <v>High</v>
          </cell>
          <cell r="I108" t="str">
            <v>Pass</v>
          </cell>
          <cell r="J108" t="str">
            <v>Register page opened successfully and the registration contents were displayed correctly.</v>
          </cell>
          <cell r="K108" t="str">
            <v>NA</v>
          </cell>
        </row>
        <row r="109">
          <cell r="A109" t="str">
            <v>TC-108</v>
          </cell>
          <cell r="B109" t="str">
            <v>Smoke</v>
          </cell>
          <cell r="C109" t="str">
            <v>Login page accessible</v>
          </cell>
          <cell r="D109" t="str">
            <v>Homepage loaded</v>
          </cell>
          <cell r="E109" t="str">
            <v>Click Log in</v>
          </cell>
          <cell r="F109" t="str">
            <v>Login page loads</v>
          </cell>
          <cell r="G109" t="str">
            <v>Smoke</v>
          </cell>
          <cell r="H109" t="str">
            <v>High</v>
          </cell>
          <cell r="I109" t="str">
            <v>Pass</v>
          </cell>
          <cell r="J109" t="str">
            <v>Login page opened successfully and the login contents were displayed correctly.</v>
          </cell>
          <cell r="K109" t="str">
            <v>NA</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ug Reports"/>
    </sheetNames>
    <sheetDataSet>
      <sheetData sheetId="0">
        <row r="1">
          <cell r="A1" t="str">
            <v>Bug ID</v>
          </cell>
          <cell r="B1" t="str">
            <v>Title</v>
          </cell>
          <cell r="C1" t="str">
            <v>Module</v>
          </cell>
          <cell r="D1" t="str">
            <v>Environment</v>
          </cell>
          <cell r="E1" t="str">
            <v>Precondition</v>
          </cell>
          <cell r="F1" t="str">
            <v>Steps to Reproduce</v>
          </cell>
          <cell r="G1" t="str">
            <v>Expected Result</v>
          </cell>
          <cell r="H1" t="str">
            <v>Actual Result</v>
          </cell>
          <cell r="I1" t="str">
            <v>Severity</v>
          </cell>
          <cell r="J1" t="str">
            <v>Priority</v>
          </cell>
          <cell r="K1" t="str">
            <v>Evidence</v>
          </cell>
          <cell r="L1" t="str">
            <v>Status</v>
          </cell>
          <cell r="M1" t="str">
            <v>Reported Date</v>
          </cell>
        </row>
        <row r="2">
          <cell r="A2" t="str">
            <v>BUG-001</v>
          </cell>
          <cell r="B2" t="str">
            <v>First Name field accepts excessively long input</v>
          </cell>
          <cell r="C2" t="str">
            <v>Registration</v>
          </cell>
          <cell r="D2" t="str">
            <v>`Google Chrome 140.0.7339.101 / Windows 11 + https://demo.nopcommerce.com/</v>
          </cell>
          <cell r="E2" t="str">
            <v>Registration page is open</v>
          </cell>
          <cell r="F2" t="str">
            <v>1. Enter valid data in all required fields.
2. Enter 2,527 characters in the First Name field.
3. Submit the registration form.</v>
          </cell>
          <cell r="G2" t="str">
            <v>First Name should enforce an appropriate maximum length or validation rule and prevent excessively long input from being submitted.</v>
          </cell>
          <cell r="H2" t="str">
            <v>First Name field accepted 2,527 characters and registration proceeded successfully. No client-side maxlength restriction was present (maxlength = -1).</v>
          </cell>
          <cell r="I2" t="str">
            <v>Medium</v>
          </cell>
          <cell r="J2" t="str">
            <v>Medium</v>
          </cell>
          <cell r="K2" t="str">
            <v>D:\nopcommerce-qa-testing\Screenshots\Bug-001.png</v>
          </cell>
          <cell r="L2" t="str">
            <v>New</v>
          </cell>
          <cell r="M2">
            <v>46277</v>
          </cell>
        </row>
        <row r="3">
          <cell r="A3" t="str">
            <v>BUG-002</v>
          </cell>
          <cell r="B3" t="str">
            <v>Excessive long Last Name causes internal server error</v>
          </cell>
          <cell r="C3" t="str">
            <v>Registration</v>
          </cell>
          <cell r="D3" t="str">
            <v>`Google Chrome 140.0.7339.101 / Windows 11 + https://demo.nopcommerce.com/</v>
          </cell>
          <cell r="E3" t="str">
            <v>Registration page is open</v>
          </cell>
          <cell r="F3" t="str">
            <v>1. Enter valid data in all required fields.
2. Enter 1,490 characters in the First Name field.
3. Submit the registration form.</v>
          </cell>
          <cell r="G3" t="str">
            <v>Application should enforce an appropriate maximum length or display user-friendly validation message instead of generating an internal server error.</v>
          </cell>
          <cell r="H3" t="str">
            <v>An "We're sorry, an internal server error occurred." error page was displayed. Regidtration was not completed. "The specified email already exists." was displayed on registration page.</v>
          </cell>
          <cell r="I3" t="str">
            <v>High</v>
          </cell>
          <cell r="J3" t="str">
            <v>High</v>
          </cell>
          <cell r="K3" t="str">
            <v>"D:\nopcommerce-qa-testing\Screenshots\Bug-002-A.png"
"D:\nopcommerce-qa-testing\Screenshots\Bug-002-B.png"</v>
          </cell>
          <cell r="L3" t="str">
            <v>New</v>
          </cell>
          <cell r="M3">
            <v>46278</v>
          </cell>
        </row>
        <row r="4">
          <cell r="A4" t="str">
            <v>BUG-003</v>
          </cell>
          <cell r="B4" t="str">
            <v>Excessive long email causes internal server error</v>
          </cell>
          <cell r="C4" t="str">
            <v>Registration</v>
          </cell>
          <cell r="D4" t="str">
            <v>`Google Chrome 140.0.7339.101 / Windows 11 + https://demo.nopcommerce.com/</v>
          </cell>
          <cell r="E4" t="str">
            <v>Registration page is open</v>
          </cell>
          <cell r="F4" t="str">
            <v>1. Enter valid data in all required fields.
2. Enter 763 characters in the Email field.
3. Submit the registration form.</v>
          </cell>
          <cell r="G4" t="str">
            <v>Application should enforce an appropriate maximum length or display user-friendly validation message instead of generating an internal server error.</v>
          </cell>
          <cell r="H4" t="str">
            <v>An "We're sorry, an internal server error occurred." error page was displayed. Regidtration was not completed. "The specified email already exists." was displayed on registration page.</v>
          </cell>
          <cell r="I4" t="str">
            <v>High</v>
          </cell>
          <cell r="J4" t="str">
            <v>High</v>
          </cell>
          <cell r="K4" t="str">
            <v>D:\nopcommerce-qa-testing\Screenshots\BUG-003.png</v>
          </cell>
          <cell r="L4" t="str">
            <v>New</v>
          </cell>
          <cell r="M4">
            <v>46278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9"/>
  <sheetViews>
    <sheetView tabSelected="1" zoomScaleNormal="100" workbookViewId="0">
      <pane ySplit="1" topLeftCell="A8" activePane="bottomLeft" state="frozen"/>
      <selection pane="bottomLeft" activeCell="I12" sqref="I12"/>
    </sheetView>
  </sheetViews>
  <sheetFormatPr defaultRowHeight="14.4" x14ac:dyDescent="0.3"/>
  <cols>
    <col min="1" max="1" width="15" customWidth="1"/>
    <col min="2" max="3" width="18" customWidth="1"/>
    <col min="4" max="4" width="20" customWidth="1"/>
    <col min="5" max="5" width="25" customWidth="1"/>
    <col min="6" max="6" width="18" customWidth="1"/>
    <col min="7" max="7" width="57.6640625" bestFit="1" customWidth="1"/>
    <col min="8" max="8" width="15" customWidth="1"/>
    <col min="9" max="9" width="35" customWidth="1"/>
  </cols>
  <sheetData>
    <row r="1" spans="1:9" x14ac:dyDescent="0.3">
      <c r="A1" s="2" t="s">
        <v>0</v>
      </c>
      <c r="B1" s="2" t="s">
        <v>1</v>
      </c>
      <c r="C1" s="2" t="s">
        <v>2</v>
      </c>
      <c r="D1" s="2" t="s">
        <v>3</v>
      </c>
      <c r="E1" s="2" t="s">
        <v>4</v>
      </c>
      <c r="F1" s="2" t="s">
        <v>5</v>
      </c>
      <c r="G1" s="2" t="s">
        <v>6</v>
      </c>
      <c r="H1" s="2" t="s">
        <v>7</v>
      </c>
      <c r="I1" s="2" t="s">
        <v>8</v>
      </c>
    </row>
    <row r="2" spans="1:9" x14ac:dyDescent="0.3">
      <c r="A2" s="1" t="s">
        <v>9</v>
      </c>
      <c r="B2" s="1" t="s">
        <v>10</v>
      </c>
      <c r="C2" s="3">
        <v>46278</v>
      </c>
      <c r="D2" s="1" t="s">
        <v>119</v>
      </c>
      <c r="E2" s="1" t="s">
        <v>120</v>
      </c>
      <c r="F2" s="1" t="s">
        <v>11</v>
      </c>
      <c r="G2" s="1" t="str">
        <f>VLOOKUP(A2,'[1]Test Cases'!$A:$K,10,FALSE)</f>
        <v>Registration completed message was displayed with continue button</v>
      </c>
      <c r="H2" s="1" t="str">
        <f>VLOOKUP(A2,'[1]Test Cases'!$A:$K,11,FALSE)</f>
        <v>NA</v>
      </c>
      <c r="I2" s="1" t="e">
        <f>VLOOKUP(H2,'[2]Bug Reports'!$A:$M,11,FALSE)</f>
        <v>#N/A</v>
      </c>
    </row>
    <row r="3" spans="1:9" ht="28.8" x14ac:dyDescent="0.3">
      <c r="A3" s="1" t="s">
        <v>12</v>
      </c>
      <c r="B3" s="1" t="s">
        <v>10</v>
      </c>
      <c r="C3" s="3">
        <v>46278</v>
      </c>
      <c r="D3" s="1" t="s">
        <v>119</v>
      </c>
      <c r="E3" s="1" t="s">
        <v>120</v>
      </c>
      <c r="F3" s="1" t="s">
        <v>11</v>
      </c>
      <c r="G3" s="1" t="str">
        <f>VLOOKUP(A3,'[1]Test Cases'!$A:$K,10,FALSE)</f>
        <v>"First name is required.", "Last name is required.", "Email is required.", and "Password is required." messages were displayed.</v>
      </c>
      <c r="H3" s="1" t="str">
        <f>VLOOKUP(A3,'[1]Test Cases'!$A:$K,11,FALSE)</f>
        <v>NA</v>
      </c>
      <c r="I3" s="1" t="e">
        <f>VLOOKUP(H3,'[2]Bug Reports'!$A:$M,11,FALSE)</f>
        <v>#N/A</v>
      </c>
    </row>
    <row r="4" spans="1:9" ht="28.8" x14ac:dyDescent="0.3">
      <c r="A4" s="1" t="s">
        <v>13</v>
      </c>
      <c r="B4" s="1" t="s">
        <v>10</v>
      </c>
      <c r="C4" s="3">
        <v>46278</v>
      </c>
      <c r="D4" s="1" t="s">
        <v>119</v>
      </c>
      <c r="E4" s="1" t="s">
        <v>120</v>
      </c>
      <c r="F4" s="1" t="s">
        <v>11</v>
      </c>
      <c r="G4" s="1" t="str">
        <f>VLOOKUP(A4,'[1]Test Cases'!$A:$K,10,FALSE)</f>
        <v>"Please enter a valid email address." is displayed and registration was blocked.</v>
      </c>
      <c r="H4" s="1" t="str">
        <f>VLOOKUP(A4,'[1]Test Cases'!$A:$K,11,FALSE)</f>
        <v>NA</v>
      </c>
      <c r="I4" s="1" t="e">
        <f>VLOOKUP(H4,'[2]Bug Reports'!$A:$M,11,FALSE)</f>
        <v>#N/A</v>
      </c>
    </row>
    <row r="5" spans="1:9" ht="28.8" x14ac:dyDescent="0.3">
      <c r="A5" s="1" t="s">
        <v>14</v>
      </c>
      <c r="B5" s="1" t="s">
        <v>10</v>
      </c>
      <c r="C5" s="3">
        <v>46278</v>
      </c>
      <c r="D5" s="1" t="s">
        <v>119</v>
      </c>
      <c r="E5" s="1" t="s">
        <v>120</v>
      </c>
      <c r="F5" s="1" t="s">
        <v>11</v>
      </c>
      <c r="G5" s="1" t="str">
        <f>VLOOKUP(A5,'[1]Test Cases'!$A:$K,10,FALSE)</f>
        <v>"The password and confirmation password do not match." message was displayed.</v>
      </c>
      <c r="H5" s="1" t="str">
        <f>VLOOKUP(A5,'[1]Test Cases'!$A:$K,11,FALSE)</f>
        <v>NA</v>
      </c>
      <c r="I5" s="1" t="e">
        <f>VLOOKUP(H5,'[2]Bug Reports'!$A:$M,11,FALSE)</f>
        <v>#N/A</v>
      </c>
    </row>
    <row r="6" spans="1:9" x14ac:dyDescent="0.3">
      <c r="A6" s="1" t="s">
        <v>15</v>
      </c>
      <c r="B6" s="1" t="s">
        <v>10</v>
      </c>
      <c r="C6" s="3">
        <v>46278</v>
      </c>
      <c r="D6" s="1" t="s">
        <v>119</v>
      </c>
      <c r="E6" s="1" t="s">
        <v>120</v>
      </c>
      <c r="F6" s="1" t="s">
        <v>11</v>
      </c>
      <c r="G6" s="1" t="str">
        <f>VLOOKUP(A6,'[1]Test Cases'!$A:$K,10,FALSE)</f>
        <v>"The specified email already exists" message was displayed.</v>
      </c>
      <c r="H6" s="1" t="str">
        <f>VLOOKUP(A6,'[1]Test Cases'!$A:$K,11,FALSE)</f>
        <v>NA</v>
      </c>
      <c r="I6" s="1" t="e">
        <f>VLOOKUP(H6,'[2]Bug Reports'!$A:$M,11,FALSE)</f>
        <v>#N/A</v>
      </c>
    </row>
    <row r="7" spans="1:9" ht="43.2" x14ac:dyDescent="0.3">
      <c r="A7" s="1" t="s">
        <v>16</v>
      </c>
      <c r="B7" s="1" t="s">
        <v>10</v>
      </c>
      <c r="C7" s="3">
        <v>46278</v>
      </c>
      <c r="D7" s="1" t="s">
        <v>119</v>
      </c>
      <c r="E7" s="1" t="s">
        <v>120</v>
      </c>
      <c r="F7" s="1" t="s">
        <v>11</v>
      </c>
      <c r="G7" s="1" t="str">
        <f>VLOOKUP(A7,'[1]Test Cases'!$A:$K,10,FALSE)</f>
        <v>A 1-character first name was accepted and registration proceeded successfully. No client-side minlength restriction was present (minlength = -1).</v>
      </c>
      <c r="H7" s="1" t="str">
        <f>VLOOKUP(A7,'[1]Test Cases'!$A:$K,11,FALSE)</f>
        <v>NA</v>
      </c>
      <c r="I7" s="1" t="e">
        <f>VLOOKUP(H7,'[2]Bug Reports'!$A:$M,11,FALSE)</f>
        <v>#N/A</v>
      </c>
    </row>
    <row r="8" spans="1:9" ht="43.2" x14ac:dyDescent="0.3">
      <c r="A8" s="1" t="s">
        <v>17</v>
      </c>
      <c r="B8" s="1" t="s">
        <v>10</v>
      </c>
      <c r="C8" s="3">
        <v>46278</v>
      </c>
      <c r="D8" s="1" t="s">
        <v>119</v>
      </c>
      <c r="E8" s="1" t="s">
        <v>120</v>
      </c>
      <c r="F8" s="1" t="s">
        <v>11</v>
      </c>
      <c r="G8" s="1" t="str">
        <f>VLOOKUP(A8,'[1]Test Cases'!$A:$K,10,FALSE)</f>
        <v>First Name field accepted 2,527 characters and registration proceeded successfully. No client-side maxlength restriction was present (maxlength = -1).</v>
      </c>
      <c r="H8" s="1" t="str">
        <f>VLOOKUP(A8,'[1]Test Cases'!$A:$K,11,FALSE)</f>
        <v>BUG-001</v>
      </c>
      <c r="I8" s="1" t="str">
        <f>VLOOKUP(H8,'[2]Bug Reports'!$A:$M,11,FALSE)</f>
        <v>D:\nopcommerce-qa-testing\Screenshots\Bug-001.png</v>
      </c>
    </row>
    <row r="9" spans="1:9" ht="43.2" x14ac:dyDescent="0.3">
      <c r="A9" s="1" t="s">
        <v>18</v>
      </c>
      <c r="B9" s="1" t="s">
        <v>10</v>
      </c>
      <c r="C9" s="3">
        <v>46278</v>
      </c>
      <c r="D9" s="1" t="s">
        <v>119</v>
      </c>
      <c r="E9" s="1" t="s">
        <v>120</v>
      </c>
      <c r="F9" s="1" t="s">
        <v>11</v>
      </c>
      <c r="G9" s="1" t="str">
        <f>VLOOKUP(A9,'[1]Test Cases'!$A:$K,10,FALSE)</f>
        <v>A 1-character last name was accepted and registration proceeded successfully. No client-side minlength restriction was present (minlength = -1).</v>
      </c>
      <c r="H9" s="1" t="str">
        <f>VLOOKUP(A9,'[1]Test Cases'!$A:$K,11,FALSE)</f>
        <v>NA</v>
      </c>
      <c r="I9" s="1" t="e">
        <f>VLOOKUP(H9,'[2]Bug Reports'!$A:$M,11,FALSE)</f>
        <v>#N/A</v>
      </c>
    </row>
    <row r="10" spans="1:9" ht="57.6" x14ac:dyDescent="0.3">
      <c r="A10" s="1" t="s">
        <v>19</v>
      </c>
      <c r="B10" s="1" t="s">
        <v>10</v>
      </c>
      <c r="C10" s="3">
        <v>46278</v>
      </c>
      <c r="D10" s="1" t="s">
        <v>119</v>
      </c>
      <c r="E10" s="1" t="s">
        <v>120</v>
      </c>
      <c r="F10" s="1" t="s">
        <v>11</v>
      </c>
      <c r="G10" s="1" t="str">
        <f>VLOOKUP(A10,'[1]Test Cases'!$A:$K,10,FALSE)</f>
        <v>Submitting a 1,490 -character Last Name resulted in an "We're sorry, an internal error occurred" page. Registration was not completed. "The specified email already exists." was displayed on Registration page.</v>
      </c>
      <c r="H10" s="1" t="str">
        <f>VLOOKUP(A10,'[1]Test Cases'!$A:$K,11,FALSE)</f>
        <v>BUG-002</v>
      </c>
      <c r="I10" s="1" t="str">
        <f>VLOOKUP(H10,'[2]Bug Reports'!$A:$M,11,FALSE)</f>
        <v>"D:\nopcommerce-qa-testing\Screenshots\Bug-002-A.png"
"D:\nopcommerce-qa-testing\Screenshots\Bug-002-B.png"</v>
      </c>
    </row>
    <row r="11" spans="1:9" ht="28.8" x14ac:dyDescent="0.3">
      <c r="A11" s="1" t="s">
        <v>20</v>
      </c>
      <c r="B11" s="1" t="s">
        <v>10</v>
      </c>
      <c r="C11" s="3">
        <v>46278</v>
      </c>
      <c r="D11" s="1" t="s">
        <v>119</v>
      </c>
      <c r="E11" s="1" t="s">
        <v>120</v>
      </c>
      <c r="F11" s="1" t="s">
        <v>11</v>
      </c>
      <c r="G11" s="1" t="str">
        <f>VLOOKUP(A11,'[1]Test Cases'!$A:$K,10,FALSE)</f>
        <v>Application allowed successful registration with "q@gmail.com" and remaining valid details when submitted.</v>
      </c>
      <c r="H11" s="1" t="str">
        <f>VLOOKUP(A11,'[1]Test Cases'!$A:$K,11,FALSE)</f>
        <v>NA</v>
      </c>
      <c r="I11" s="1" t="e">
        <f>VLOOKUP(H11,'[2]Bug Reports'!$A:$M,11,FALSE)</f>
        <v>#N/A</v>
      </c>
    </row>
    <row r="12" spans="1:9" ht="43.2" x14ac:dyDescent="0.3">
      <c r="A12" s="1" t="s">
        <v>21</v>
      </c>
      <c r="B12" s="1" t="s">
        <v>10</v>
      </c>
      <c r="C12" s="3">
        <v>46278</v>
      </c>
      <c r="D12" s="1" t="s">
        <v>119</v>
      </c>
      <c r="E12" s="1" t="s">
        <v>120</v>
      </c>
      <c r="F12" s="1" t="s">
        <v>11</v>
      </c>
      <c r="G12" s="1" t="str">
        <f>VLOOKUP(A12,'[1]Test Cases'!$A:$K,10,FALSE)</f>
        <v>Submitting a 763 - character email resulted in an "We're sorry, an internal error occurred" page. Registration was not completed. "The specified email already exists." was displayed on Registration page.</v>
      </c>
      <c r="H12" s="1" t="str">
        <f>VLOOKUP(A12,'[1]Test Cases'!$A:$K,11,FALSE)</f>
        <v>BUG-003</v>
      </c>
      <c r="I12" s="1" t="str">
        <f>VLOOKUP(H12,'[2]Bug Reports'!$A:$M,11,FALSE)</f>
        <v>D:\nopcommerce-qa-testing\Screenshots\BUG-003.png</v>
      </c>
    </row>
    <row r="13" spans="1:9" ht="28.8" x14ac:dyDescent="0.3">
      <c r="A13" s="1" t="s">
        <v>22</v>
      </c>
      <c r="B13" s="1" t="s">
        <v>10</v>
      </c>
      <c r="C13" s="3">
        <v>46278</v>
      </c>
      <c r="D13" s="1" t="s">
        <v>119</v>
      </c>
      <c r="E13" s="1" t="s">
        <v>120</v>
      </c>
      <c r="F13" s="1" t="s">
        <v>11</v>
      </c>
      <c r="G13" s="1" t="str">
        <f>VLOOKUP(A13,'[1]Test Cases'!$A:$K,10,FALSE)</f>
        <v>6-character password is accepted and registration proceeds successfully</v>
      </c>
      <c r="H13" s="1" t="str">
        <f>VLOOKUP(A13,'[1]Test Cases'!$A:$K,11,FALSE)</f>
        <v>NA</v>
      </c>
      <c r="I13" s="1" t="e">
        <f>VLOOKUP(H13,'[2]Bug Reports'!$A:$M,11,FALSE)</f>
        <v>#N/A</v>
      </c>
    </row>
    <row r="14" spans="1:9" ht="28.8" x14ac:dyDescent="0.3">
      <c r="A14" s="1" t="s">
        <v>23</v>
      </c>
      <c r="B14" s="1" t="s">
        <v>10</v>
      </c>
      <c r="C14" s="3">
        <v>46278</v>
      </c>
      <c r="D14" s="1" t="s">
        <v>119</v>
      </c>
      <c r="E14" s="1" t="s">
        <v>120</v>
      </c>
      <c r="F14" s="1" t="s">
        <v>11</v>
      </c>
      <c r="G14" s="1" t="str">
        <f>VLOOKUP(A14,'[1]Test Cases'!$A:$K,10,FALSE)</f>
        <v>64-character password is accepted and registration proceeds successfully</v>
      </c>
      <c r="H14" s="1" t="str">
        <f>VLOOKUP(A14,'[1]Test Cases'!$A:$K,11,FALSE)</f>
        <v>NA</v>
      </c>
      <c r="I14" s="1" t="e">
        <f>VLOOKUP(H14,'[2]Bug Reports'!$A:$M,11,FALSE)</f>
        <v>#N/A</v>
      </c>
    </row>
    <row r="15" spans="1:9" ht="43.2" x14ac:dyDescent="0.3">
      <c r="A15" s="1" t="s">
        <v>24</v>
      </c>
      <c r="B15" s="1" t="s">
        <v>10</v>
      </c>
      <c r="C15" s="3">
        <v>46278</v>
      </c>
      <c r="D15" s="1" t="s">
        <v>119</v>
      </c>
      <c r="E15" s="1" t="s">
        <v>120</v>
      </c>
      <c r="F15" s="1" t="s">
        <v>11</v>
      </c>
      <c r="G15" s="1" t="str">
        <f>VLOOKUP(A15,'[1]Test Cases'!$A:$K,10,FALSE)</f>
        <v>"Password must meet the following rules: must have at least 6 characters and not greater than 64 characters" message was displayed when 183 character password was entered.</v>
      </c>
      <c r="H15" s="1" t="str">
        <f>VLOOKUP(A15,'[1]Test Cases'!$A:$K,11,FALSE)</f>
        <v>NA</v>
      </c>
      <c r="I15" s="1" t="e">
        <f>VLOOKUP(H15,'[2]Bug Reports'!$A:$M,11,FALSE)</f>
        <v>#N/A</v>
      </c>
    </row>
    <row r="16" spans="1:9" x14ac:dyDescent="0.3">
      <c r="A16" s="1" t="s">
        <v>25</v>
      </c>
      <c r="B16" s="1" t="s">
        <v>10</v>
      </c>
      <c r="C16" s="3">
        <v>46278</v>
      </c>
      <c r="D16" s="1" t="s">
        <v>119</v>
      </c>
      <c r="E16" s="1" t="s">
        <v>120</v>
      </c>
      <c r="F16" s="1" t="s">
        <v>11</v>
      </c>
      <c r="G16" s="1">
        <f>VLOOKUP(A16,'[1]Test Cases'!$A:$K,10,FALSE)</f>
        <v>0</v>
      </c>
      <c r="H16" s="1">
        <f>VLOOKUP(A16,'[1]Test Cases'!$A:$K,11,FALSE)</f>
        <v>0</v>
      </c>
      <c r="I16" s="1" t="e">
        <f>VLOOKUP(H16,'[2]Bug Reports'!$A:$M,11,FALSE)</f>
        <v>#N/A</v>
      </c>
    </row>
    <row r="17" spans="1:9" x14ac:dyDescent="0.3">
      <c r="A17" s="1" t="s">
        <v>26</v>
      </c>
      <c r="B17" s="1" t="s">
        <v>10</v>
      </c>
      <c r="C17" s="3">
        <v>46278</v>
      </c>
      <c r="D17" s="1" t="s">
        <v>119</v>
      </c>
      <c r="E17" s="1" t="s">
        <v>120</v>
      </c>
      <c r="F17" s="1" t="s">
        <v>11</v>
      </c>
      <c r="G17" s="1">
        <f>VLOOKUP(A17,'[1]Test Cases'!$A:$K,10,FALSE)</f>
        <v>0</v>
      </c>
      <c r="H17" s="1">
        <f>VLOOKUP(A17,'[1]Test Cases'!$A:$K,11,FALSE)</f>
        <v>0</v>
      </c>
      <c r="I17" s="1" t="e">
        <f>VLOOKUP(H17,'[2]Bug Reports'!$A:$M,11,FALSE)</f>
        <v>#N/A</v>
      </c>
    </row>
    <row r="18" spans="1:9" x14ac:dyDescent="0.3">
      <c r="A18" s="1" t="s">
        <v>28</v>
      </c>
      <c r="B18" s="1" t="s">
        <v>10</v>
      </c>
      <c r="C18" s="3">
        <v>46278</v>
      </c>
      <c r="D18" s="1" t="s">
        <v>119</v>
      </c>
      <c r="E18" s="1" t="s">
        <v>120</v>
      </c>
      <c r="F18" s="1" t="s">
        <v>11</v>
      </c>
      <c r="G18" s="1">
        <f>VLOOKUP(A18,'[1]Test Cases'!$A:$K,10,FALSE)</f>
        <v>0</v>
      </c>
      <c r="H18" s="1">
        <f>VLOOKUP(A18,'[1]Test Cases'!$A:$K,11,FALSE)</f>
        <v>0</v>
      </c>
      <c r="I18" s="1" t="e">
        <f>VLOOKUP(H18,'[2]Bug Reports'!$A:$M,11,FALSE)</f>
        <v>#N/A</v>
      </c>
    </row>
    <row r="19" spans="1:9" x14ac:dyDescent="0.3">
      <c r="A19" s="1" t="s">
        <v>29</v>
      </c>
      <c r="B19" s="1" t="s">
        <v>10</v>
      </c>
      <c r="C19" s="3">
        <v>46278</v>
      </c>
      <c r="D19" s="1" t="s">
        <v>119</v>
      </c>
      <c r="E19" s="1" t="s">
        <v>120</v>
      </c>
      <c r="F19" s="1" t="s">
        <v>11</v>
      </c>
      <c r="G19" s="1">
        <f>VLOOKUP(A19,'[1]Test Cases'!$A:$K,10,FALSE)</f>
        <v>0</v>
      </c>
      <c r="H19" s="1">
        <f>VLOOKUP(A19,'[1]Test Cases'!$A:$K,11,FALSE)</f>
        <v>0</v>
      </c>
      <c r="I19" s="1" t="e">
        <f>VLOOKUP(H19,'[2]Bug Reports'!$A:$M,11,FALSE)</f>
        <v>#N/A</v>
      </c>
    </row>
    <row r="20" spans="1:9" x14ac:dyDescent="0.3">
      <c r="A20" s="1" t="s">
        <v>30</v>
      </c>
      <c r="B20" s="1" t="s">
        <v>10</v>
      </c>
      <c r="C20" s="3">
        <v>46278</v>
      </c>
      <c r="D20" s="1" t="s">
        <v>119</v>
      </c>
      <c r="E20" s="1" t="s">
        <v>120</v>
      </c>
      <c r="F20" s="1" t="s">
        <v>11</v>
      </c>
      <c r="G20" s="1">
        <f>VLOOKUP(A20,'[1]Test Cases'!$A:$K,10,FALSE)</f>
        <v>0</v>
      </c>
      <c r="H20" s="1">
        <f>VLOOKUP(A20,'[1]Test Cases'!$A:$K,11,FALSE)</f>
        <v>0</v>
      </c>
      <c r="I20" s="1" t="e">
        <f>VLOOKUP(H20,'[2]Bug Reports'!$A:$M,11,FALSE)</f>
        <v>#N/A</v>
      </c>
    </row>
    <row r="21" spans="1:9" x14ac:dyDescent="0.3">
      <c r="A21" s="1" t="s">
        <v>31</v>
      </c>
      <c r="B21" s="1" t="s">
        <v>10</v>
      </c>
      <c r="C21" s="3">
        <v>46278</v>
      </c>
      <c r="D21" s="1" t="s">
        <v>119</v>
      </c>
      <c r="E21" s="1" t="s">
        <v>120</v>
      </c>
      <c r="F21" s="1" t="s">
        <v>11</v>
      </c>
      <c r="G21" s="1">
        <f>VLOOKUP(A21,'[1]Test Cases'!$A:$K,10,FALSE)</f>
        <v>0</v>
      </c>
      <c r="H21" s="1">
        <f>VLOOKUP(A21,'[1]Test Cases'!$A:$K,11,FALSE)</f>
        <v>0</v>
      </c>
      <c r="I21" s="1" t="e">
        <f>VLOOKUP(H21,'[2]Bug Reports'!$A:$M,11,FALSE)</f>
        <v>#N/A</v>
      </c>
    </row>
    <row r="22" spans="1:9" x14ac:dyDescent="0.3">
      <c r="A22" s="1" t="s">
        <v>32</v>
      </c>
      <c r="B22" s="1" t="s">
        <v>10</v>
      </c>
      <c r="C22" s="3">
        <v>46278</v>
      </c>
      <c r="D22" s="1" t="s">
        <v>119</v>
      </c>
      <c r="E22" s="1" t="s">
        <v>120</v>
      </c>
      <c r="F22" s="1" t="s">
        <v>11</v>
      </c>
      <c r="G22" s="1">
        <f>VLOOKUP(A22,'[1]Test Cases'!$A:$K,10,FALSE)</f>
        <v>0</v>
      </c>
      <c r="H22" s="1">
        <f>VLOOKUP(A22,'[1]Test Cases'!$A:$K,11,FALSE)</f>
        <v>0</v>
      </c>
      <c r="I22" s="1" t="e">
        <f>VLOOKUP(H22,'[2]Bug Reports'!$A:$M,11,FALSE)</f>
        <v>#N/A</v>
      </c>
    </row>
    <row r="23" spans="1:9" x14ac:dyDescent="0.3">
      <c r="A23" s="1" t="s">
        <v>33</v>
      </c>
      <c r="B23" s="1" t="s">
        <v>10</v>
      </c>
      <c r="C23" s="3">
        <v>46278</v>
      </c>
      <c r="D23" s="1" t="s">
        <v>119</v>
      </c>
      <c r="E23" s="1" t="s">
        <v>120</v>
      </c>
      <c r="F23" s="1" t="s">
        <v>11</v>
      </c>
      <c r="G23" s="1">
        <f>VLOOKUP(A23,'[1]Test Cases'!$A:$K,10,FALSE)</f>
        <v>0</v>
      </c>
      <c r="H23" s="1">
        <f>VLOOKUP(A23,'[1]Test Cases'!$A:$K,11,FALSE)</f>
        <v>0</v>
      </c>
      <c r="I23" s="1" t="e">
        <f>VLOOKUP(H23,'[2]Bug Reports'!$A:$M,11,FALSE)</f>
        <v>#N/A</v>
      </c>
    </row>
    <row r="24" spans="1:9" x14ac:dyDescent="0.3">
      <c r="A24" s="1" t="s">
        <v>34</v>
      </c>
      <c r="B24" s="1" t="s">
        <v>10</v>
      </c>
      <c r="C24" s="3">
        <v>46278</v>
      </c>
      <c r="D24" s="1" t="s">
        <v>119</v>
      </c>
      <c r="E24" s="1" t="s">
        <v>120</v>
      </c>
      <c r="F24" s="1" t="s">
        <v>11</v>
      </c>
      <c r="G24" s="1">
        <f>VLOOKUP(A24,'[1]Test Cases'!$A:$K,10,FALSE)</f>
        <v>0</v>
      </c>
      <c r="H24" s="1">
        <f>VLOOKUP(A24,'[1]Test Cases'!$A:$K,11,FALSE)</f>
        <v>0</v>
      </c>
      <c r="I24" s="1" t="e">
        <f>VLOOKUP(H24,'[2]Bug Reports'!$A:$M,11,FALSE)</f>
        <v>#N/A</v>
      </c>
    </row>
    <row r="25" spans="1:9" x14ac:dyDescent="0.3">
      <c r="A25" s="1" t="s">
        <v>35</v>
      </c>
      <c r="B25" s="1" t="s">
        <v>27</v>
      </c>
      <c r="C25" s="3">
        <v>46278</v>
      </c>
      <c r="D25" s="1" t="s">
        <v>119</v>
      </c>
      <c r="E25" s="1" t="s">
        <v>120</v>
      </c>
      <c r="F25" s="1" t="s">
        <v>11</v>
      </c>
      <c r="G25" s="1" t="str">
        <f>VLOOKUP(A25,'[1]Test Cases'!$A:$K,10,FALSE)</f>
        <v>User successfully logged in.</v>
      </c>
      <c r="H25" s="1" t="str">
        <f>VLOOKUP(A25,'[1]Test Cases'!$A:$K,11,FALSE)</f>
        <v>NA</v>
      </c>
      <c r="I25" s="1" t="e">
        <f>VLOOKUP(H25,'[2]Bug Reports'!$A:$M,11,FALSE)</f>
        <v>#N/A</v>
      </c>
    </row>
    <row r="26" spans="1:9" ht="43.2" x14ac:dyDescent="0.3">
      <c r="A26" s="1" t="s">
        <v>36</v>
      </c>
      <c r="B26" s="1" t="s">
        <v>27</v>
      </c>
      <c r="C26" s="3">
        <v>46278</v>
      </c>
      <c r="D26" s="1" t="s">
        <v>119</v>
      </c>
      <c r="E26" s="1" t="s">
        <v>120</v>
      </c>
      <c r="F26" s="1" t="s">
        <v>11</v>
      </c>
      <c r="G26" s="1" t="str">
        <f>VLOOKUP(A26,'[1]Test Cases'!$A:$K,10,FALSE)</f>
        <v>"Login was unsuccessful. Please correct the errors and try again.
The credentials provided are incorrect" message was displayed and login attempt was rejected.</v>
      </c>
      <c r="H26" s="1" t="str">
        <f>VLOOKUP(A26,'[1]Test Cases'!$A:$K,11,FALSE)</f>
        <v>NA</v>
      </c>
      <c r="I26" s="1" t="e">
        <f>VLOOKUP(H26,'[2]Bug Reports'!$A:$M,11,FALSE)</f>
        <v>#N/A</v>
      </c>
    </row>
    <row r="27" spans="1:9" ht="43.2" x14ac:dyDescent="0.3">
      <c r="A27" s="1" t="s">
        <v>37</v>
      </c>
      <c r="B27" s="1" t="s">
        <v>27</v>
      </c>
      <c r="C27" s="3">
        <v>46278</v>
      </c>
      <c r="D27" s="1" t="s">
        <v>119</v>
      </c>
      <c r="E27" s="1" t="s">
        <v>120</v>
      </c>
      <c r="F27" s="1" t="s">
        <v>11</v>
      </c>
      <c r="G27" s="1" t="str">
        <f>VLOOKUP(A27,'[1]Test Cases'!$A:$K,10,FALSE)</f>
        <v>"Login was unsuccessful. Please correct the errors and try again.
No customer account found" message was displayed and login was rejected.</v>
      </c>
      <c r="H27" s="1" t="str">
        <f>VLOOKUP(A27,'[1]Test Cases'!$A:$K,11,FALSE)</f>
        <v>NA</v>
      </c>
      <c r="I27" s="1" t="e">
        <f>VLOOKUP(H27,'[2]Bug Reports'!$A:$M,11,FALSE)</f>
        <v>#N/A</v>
      </c>
    </row>
    <row r="28" spans="1:9" ht="28.8" x14ac:dyDescent="0.3">
      <c r="A28" s="1" t="s">
        <v>38</v>
      </c>
      <c r="B28" s="1" t="s">
        <v>27</v>
      </c>
      <c r="C28" s="3">
        <v>46278</v>
      </c>
      <c r="D28" s="1" t="s">
        <v>119</v>
      </c>
      <c r="E28" s="1" t="s">
        <v>120</v>
      </c>
      <c r="F28" s="1" t="s">
        <v>11</v>
      </c>
      <c r="G28" s="1" t="str">
        <f>VLOOKUP(A28,'[1]Test Cases'!$A:$K,10,FALSE)</f>
        <v>"Please enter your email" message appeared did not proceed for password</v>
      </c>
      <c r="H28" s="1" t="str">
        <f>VLOOKUP(A28,'[1]Test Cases'!$A:$K,11,FALSE)</f>
        <v>NA</v>
      </c>
      <c r="I28" s="1" t="e">
        <f>VLOOKUP(H28,'[2]Bug Reports'!$A:$M,11,FALSE)</f>
        <v>#N/A</v>
      </c>
    </row>
    <row r="29" spans="1:9" ht="43.2" x14ac:dyDescent="0.3">
      <c r="A29" s="1" t="s">
        <v>39</v>
      </c>
      <c r="B29" s="1" t="s">
        <v>27</v>
      </c>
      <c r="C29" s="3">
        <v>46278</v>
      </c>
      <c r="D29" s="1" t="s">
        <v>119</v>
      </c>
      <c r="E29" s="1" t="s">
        <v>120</v>
      </c>
      <c r="F29" s="1" t="s">
        <v>11</v>
      </c>
      <c r="G29" s="1" t="str">
        <f>VLOOKUP(A29,'[1]Test Cases'!$A:$K,10,FALSE)</f>
        <v>"Login was unsuccessful. Please correct the errors and try again.
The credentials provided are incorrect" message was displayed and login attempt was rejected.</v>
      </c>
      <c r="H29" s="1" t="str">
        <f>VLOOKUP(A29,'[1]Test Cases'!$A:$K,11,FALSE)</f>
        <v>NA</v>
      </c>
      <c r="I29" s="1" t="e">
        <f>VLOOKUP(H29,'[2]Bug Reports'!$A:$M,11,FALSE)</f>
        <v>#N/A</v>
      </c>
    </row>
    <row r="30" spans="1:9" x14ac:dyDescent="0.3">
      <c r="A30" s="1" t="s">
        <v>40</v>
      </c>
      <c r="B30" s="1" t="s">
        <v>27</v>
      </c>
      <c r="C30" s="3">
        <v>46278</v>
      </c>
      <c r="D30" s="1" t="s">
        <v>119</v>
      </c>
      <c r="E30" s="1" t="s">
        <v>120</v>
      </c>
      <c r="F30" s="1" t="s">
        <v>11</v>
      </c>
      <c r="G30" s="1" t="str">
        <f>VLOOKUP(A30,'[1]Test Cases'!$A:$K,10,FALSE)</f>
        <v>"Please enter your email" message appeared.</v>
      </c>
      <c r="H30" s="1" t="str">
        <f>VLOOKUP(A30,'[1]Test Cases'!$A:$K,11,FALSE)</f>
        <v>NA</v>
      </c>
      <c r="I30" s="1" t="e">
        <f>VLOOKUP(H30,'[2]Bug Reports'!$A:$M,11,FALSE)</f>
        <v>#N/A</v>
      </c>
    </row>
    <row r="31" spans="1:9" x14ac:dyDescent="0.3">
      <c r="A31" s="1" t="s">
        <v>41</v>
      </c>
      <c r="B31" s="1" t="s">
        <v>27</v>
      </c>
      <c r="C31" s="3">
        <v>46278</v>
      </c>
      <c r="D31" s="1" t="s">
        <v>119</v>
      </c>
      <c r="E31" s="1" t="s">
        <v>120</v>
      </c>
      <c r="F31" s="1" t="s">
        <v>11</v>
      </c>
      <c r="G31" s="1">
        <f>VLOOKUP(A31,'[1]Test Cases'!$A:$K,10,FALSE)</f>
        <v>0</v>
      </c>
      <c r="H31" s="1">
        <f>VLOOKUP(A31,'[1]Test Cases'!$A:$K,11,FALSE)</f>
        <v>0</v>
      </c>
      <c r="I31" s="1" t="e">
        <f>VLOOKUP(H31,'[2]Bug Reports'!$A:$M,11,FALSE)</f>
        <v>#N/A</v>
      </c>
    </row>
    <row r="32" spans="1:9" x14ac:dyDescent="0.3">
      <c r="A32" s="1" t="s">
        <v>42</v>
      </c>
      <c r="B32" s="1" t="s">
        <v>27</v>
      </c>
      <c r="C32" s="3">
        <v>46278</v>
      </c>
      <c r="D32" s="1" t="s">
        <v>119</v>
      </c>
      <c r="E32" s="1" t="s">
        <v>120</v>
      </c>
      <c r="F32" s="1" t="s">
        <v>11</v>
      </c>
      <c r="G32" s="1">
        <f>VLOOKUP(A32,'[1]Test Cases'!$A:$K,10,FALSE)</f>
        <v>0</v>
      </c>
      <c r="H32" s="1">
        <f>VLOOKUP(A32,'[1]Test Cases'!$A:$K,11,FALSE)</f>
        <v>0</v>
      </c>
      <c r="I32" s="1" t="e">
        <f>VLOOKUP(H32,'[2]Bug Reports'!$A:$M,11,FALSE)</f>
        <v>#N/A</v>
      </c>
    </row>
    <row r="33" spans="1:9" x14ac:dyDescent="0.3">
      <c r="A33" s="1" t="s">
        <v>44</v>
      </c>
      <c r="B33" s="1" t="s">
        <v>27</v>
      </c>
      <c r="C33" s="3">
        <v>46278</v>
      </c>
      <c r="D33" s="1" t="s">
        <v>119</v>
      </c>
      <c r="E33" s="1" t="s">
        <v>120</v>
      </c>
      <c r="F33" s="1" t="s">
        <v>11</v>
      </c>
      <c r="G33" s="1">
        <f>VLOOKUP(A33,'[1]Test Cases'!$A:$K,10,FALSE)</f>
        <v>0</v>
      </c>
      <c r="H33" s="1">
        <f>VLOOKUP(A33,'[1]Test Cases'!$A:$K,11,FALSE)</f>
        <v>0</v>
      </c>
      <c r="I33" s="1" t="e">
        <f>VLOOKUP(H33,'[2]Bug Reports'!$A:$M,11,FALSE)</f>
        <v>#N/A</v>
      </c>
    </row>
    <row r="34" spans="1:9" x14ac:dyDescent="0.3">
      <c r="A34" s="1" t="s">
        <v>45</v>
      </c>
      <c r="B34" s="1" t="s">
        <v>27</v>
      </c>
      <c r="C34" s="3">
        <v>46278</v>
      </c>
      <c r="D34" s="1" t="s">
        <v>119</v>
      </c>
      <c r="E34" s="1" t="s">
        <v>120</v>
      </c>
      <c r="F34" s="1" t="s">
        <v>11</v>
      </c>
      <c r="G34" s="1">
        <f>VLOOKUP(A34,'[1]Test Cases'!$A:$K,10,FALSE)</f>
        <v>0</v>
      </c>
      <c r="H34" s="1">
        <f>VLOOKUP(A34,'[1]Test Cases'!$A:$K,11,FALSE)</f>
        <v>0</v>
      </c>
      <c r="I34" s="1" t="e">
        <f>VLOOKUP(H34,'[2]Bug Reports'!$A:$M,11,FALSE)</f>
        <v>#N/A</v>
      </c>
    </row>
    <row r="35" spans="1:9" x14ac:dyDescent="0.3">
      <c r="A35" s="1" t="s">
        <v>46</v>
      </c>
      <c r="B35" s="1" t="s">
        <v>27</v>
      </c>
      <c r="C35" s="3">
        <v>46278</v>
      </c>
      <c r="D35" s="1" t="s">
        <v>119</v>
      </c>
      <c r="E35" s="1" t="s">
        <v>120</v>
      </c>
      <c r="F35" s="1" t="s">
        <v>11</v>
      </c>
      <c r="G35" s="1">
        <f>VLOOKUP(A35,'[1]Test Cases'!$A:$K,10,FALSE)</f>
        <v>0</v>
      </c>
      <c r="H35" s="1">
        <f>VLOOKUP(A35,'[1]Test Cases'!$A:$K,11,FALSE)</f>
        <v>0</v>
      </c>
      <c r="I35" s="1" t="e">
        <f>VLOOKUP(H35,'[2]Bug Reports'!$A:$M,11,FALSE)</f>
        <v>#N/A</v>
      </c>
    </row>
    <row r="36" spans="1:9" x14ac:dyDescent="0.3">
      <c r="A36" s="1" t="s">
        <v>47</v>
      </c>
      <c r="B36" s="1" t="s">
        <v>27</v>
      </c>
      <c r="C36" s="3">
        <v>46278</v>
      </c>
      <c r="D36" s="1" t="s">
        <v>119</v>
      </c>
      <c r="E36" s="1" t="s">
        <v>120</v>
      </c>
      <c r="F36" s="1" t="s">
        <v>11</v>
      </c>
      <c r="G36" s="1">
        <f>VLOOKUP(A36,'[1]Test Cases'!$A:$K,10,FALSE)</f>
        <v>0</v>
      </c>
      <c r="H36" s="1">
        <f>VLOOKUP(A36,'[1]Test Cases'!$A:$K,11,FALSE)</f>
        <v>0</v>
      </c>
      <c r="I36" s="1" t="e">
        <f>VLOOKUP(H36,'[2]Bug Reports'!$A:$M,11,FALSE)</f>
        <v>#N/A</v>
      </c>
    </row>
    <row r="37" spans="1:9" x14ac:dyDescent="0.3">
      <c r="A37" s="1" t="s">
        <v>48</v>
      </c>
      <c r="B37" s="1" t="s">
        <v>27</v>
      </c>
      <c r="C37" s="3">
        <v>46278</v>
      </c>
      <c r="D37" s="1" t="s">
        <v>119</v>
      </c>
      <c r="E37" s="1" t="s">
        <v>120</v>
      </c>
      <c r="F37" s="1" t="s">
        <v>11</v>
      </c>
      <c r="G37" s="1">
        <f>VLOOKUP(A37,'[1]Test Cases'!$A:$K,10,FALSE)</f>
        <v>0</v>
      </c>
      <c r="H37" s="1">
        <f>VLOOKUP(A37,'[1]Test Cases'!$A:$K,11,FALSE)</f>
        <v>0</v>
      </c>
      <c r="I37" s="1" t="e">
        <f>VLOOKUP(H37,'[2]Bug Reports'!$A:$M,11,FALSE)</f>
        <v>#N/A</v>
      </c>
    </row>
    <row r="38" spans="1:9" x14ac:dyDescent="0.3">
      <c r="A38" s="1" t="s">
        <v>49</v>
      </c>
      <c r="B38" s="1" t="s">
        <v>27</v>
      </c>
      <c r="C38" s="3">
        <v>46278</v>
      </c>
      <c r="D38" s="1" t="s">
        <v>119</v>
      </c>
      <c r="E38" s="1" t="s">
        <v>120</v>
      </c>
      <c r="F38" s="1" t="s">
        <v>11</v>
      </c>
      <c r="G38" s="1">
        <f>VLOOKUP(A38,'[1]Test Cases'!$A:$K,10,FALSE)</f>
        <v>0</v>
      </c>
      <c r="H38" s="1">
        <f>VLOOKUP(A38,'[1]Test Cases'!$A:$K,11,FALSE)</f>
        <v>0</v>
      </c>
      <c r="I38" s="1" t="e">
        <f>VLOOKUP(H38,'[2]Bug Reports'!$A:$M,11,FALSE)</f>
        <v>#N/A</v>
      </c>
    </row>
    <row r="39" spans="1:9" x14ac:dyDescent="0.3">
      <c r="A39" s="1" t="s">
        <v>50</v>
      </c>
      <c r="B39" s="1" t="s">
        <v>27</v>
      </c>
      <c r="C39" s="3">
        <v>46278</v>
      </c>
      <c r="D39" s="1" t="s">
        <v>119</v>
      </c>
      <c r="E39" s="1" t="s">
        <v>120</v>
      </c>
      <c r="F39" s="1" t="s">
        <v>11</v>
      </c>
      <c r="G39" s="1">
        <f>VLOOKUP(A39,'[1]Test Cases'!$A:$K,10,FALSE)</f>
        <v>0</v>
      </c>
      <c r="H39" s="1">
        <f>VLOOKUP(A39,'[1]Test Cases'!$A:$K,11,FALSE)</f>
        <v>0</v>
      </c>
      <c r="I39" s="1" t="e">
        <f>VLOOKUP(H39,'[2]Bug Reports'!$A:$M,11,FALSE)</f>
        <v>#N/A</v>
      </c>
    </row>
    <row r="40" spans="1:9" ht="28.8" x14ac:dyDescent="0.3">
      <c r="A40" s="1" t="s">
        <v>51</v>
      </c>
      <c r="B40" s="1" t="s">
        <v>43</v>
      </c>
      <c r="C40" s="3">
        <v>46278</v>
      </c>
      <c r="D40" s="1" t="s">
        <v>119</v>
      </c>
      <c r="E40" s="1" t="s">
        <v>120</v>
      </c>
      <c r="F40" s="1" t="s">
        <v>11</v>
      </c>
      <c r="G40" s="1" t="str">
        <f>VLOOKUP(A40,'[1]Test Cases'!$A:$K,10,FALSE)</f>
        <v>Asus Laptop appeared in the search result with product price, rating, add to cart option, compare and add to whishlist buttons.</v>
      </c>
      <c r="H40" s="1" t="str">
        <f>VLOOKUP(A40,'[1]Test Cases'!$A:$K,11,FALSE)</f>
        <v>NA</v>
      </c>
      <c r="I40" s="1" t="e">
        <f>VLOOKUP(H40,'[2]Bug Reports'!$A:$M,11,FALSE)</f>
        <v>#N/A</v>
      </c>
    </row>
    <row r="41" spans="1:9" ht="28.8" x14ac:dyDescent="0.3">
      <c r="A41" s="1" t="s">
        <v>52</v>
      </c>
      <c r="B41" s="1" t="s">
        <v>43</v>
      </c>
      <c r="C41" s="3">
        <v>46278</v>
      </c>
      <c r="D41" s="1" t="s">
        <v>119</v>
      </c>
      <c r="E41" s="1" t="s">
        <v>120</v>
      </c>
      <c r="F41" s="1" t="s">
        <v>11</v>
      </c>
      <c r="G41" s="1" t="str">
        <f>VLOOKUP(A41,'[1]Test Cases'!$A:$K,10,FALSE)</f>
        <v>Entered "Think" in search bar and "Lenovo Thinkpad Carbon Laptop" appeared in result when searched.</v>
      </c>
      <c r="H41" s="1" t="str">
        <f>VLOOKUP(A41,'[1]Test Cases'!$A:$K,11,FALSE)</f>
        <v>NA</v>
      </c>
      <c r="I41" s="1" t="e">
        <f>VLOOKUP(H41,'[2]Bug Reports'!$A:$M,11,FALSE)</f>
        <v>#N/A</v>
      </c>
    </row>
    <row r="42" spans="1:9" ht="28.8" x14ac:dyDescent="0.3">
      <c r="A42" s="1" t="s">
        <v>53</v>
      </c>
      <c r="B42" s="1" t="s">
        <v>43</v>
      </c>
      <c r="C42" s="3">
        <v>46278</v>
      </c>
      <c r="D42" s="1" t="s">
        <v>119</v>
      </c>
      <c r="E42" s="1" t="s">
        <v>120</v>
      </c>
      <c r="F42" s="1" t="s">
        <v>11</v>
      </c>
      <c r="G42" s="1" t="str">
        <f>VLOOKUP(A42,'[1]Test Cases'!$A:$K,10,FALSE)</f>
        <v>"No products were found that matched your criteria." was displayed when searched.</v>
      </c>
      <c r="H42" s="1" t="str">
        <f>VLOOKUP(A42,'[1]Test Cases'!$A:$K,11,FALSE)</f>
        <v>NA</v>
      </c>
      <c r="I42" s="1" t="e">
        <f>VLOOKUP(H42,'[2]Bug Reports'!$A:$M,11,FALSE)</f>
        <v>#N/A</v>
      </c>
    </row>
    <row r="43" spans="1:9" ht="28.8" x14ac:dyDescent="0.3">
      <c r="A43" s="1" t="s">
        <v>54</v>
      </c>
      <c r="B43" s="1" t="s">
        <v>43</v>
      </c>
      <c r="C43" s="3">
        <v>46278</v>
      </c>
      <c r="D43" s="1" t="s">
        <v>119</v>
      </c>
      <c r="E43" s="1" t="s">
        <v>120</v>
      </c>
      <c r="F43" s="1" t="s">
        <v>11</v>
      </c>
      <c r="G43" s="1" t="str">
        <f>VLOOKUP(A43,'[1]Test Cases'!$A:$K,10,FALSE)</f>
        <v>"Please enter some search keyword" javascript alert messages appeared.</v>
      </c>
      <c r="H43" s="1" t="str">
        <f>VLOOKUP(A43,'[1]Test Cases'!$A:$K,11,FALSE)</f>
        <v>NA</v>
      </c>
      <c r="I43" s="1" t="e">
        <f>VLOOKUP(H43,'[2]Bug Reports'!$A:$M,11,FALSE)</f>
        <v>#N/A</v>
      </c>
    </row>
    <row r="44" spans="1:9" x14ac:dyDescent="0.3">
      <c r="A44" s="1" t="s">
        <v>55</v>
      </c>
      <c r="B44" s="1" t="s">
        <v>43</v>
      </c>
      <c r="C44" s="3">
        <v>46278</v>
      </c>
      <c r="D44" s="1" t="s">
        <v>119</v>
      </c>
      <c r="E44" s="1" t="s">
        <v>120</v>
      </c>
      <c r="F44" s="1" t="s">
        <v>11</v>
      </c>
      <c r="G44" s="1">
        <f>VLOOKUP(A44,'[1]Test Cases'!$A:$K,10,FALSE)</f>
        <v>0</v>
      </c>
      <c r="H44" s="1">
        <f>VLOOKUP(A44,'[1]Test Cases'!$A:$K,11,FALSE)</f>
        <v>0</v>
      </c>
      <c r="I44" s="1" t="e">
        <f>VLOOKUP(H44,'[2]Bug Reports'!$A:$M,11,FALSE)</f>
        <v>#N/A</v>
      </c>
    </row>
    <row r="45" spans="1:9" x14ac:dyDescent="0.3">
      <c r="A45" s="1" t="s">
        <v>56</v>
      </c>
      <c r="B45" s="1" t="s">
        <v>43</v>
      </c>
      <c r="C45" s="3">
        <v>46278</v>
      </c>
      <c r="D45" s="1" t="s">
        <v>119</v>
      </c>
      <c r="E45" s="1" t="s">
        <v>120</v>
      </c>
      <c r="F45" s="1" t="s">
        <v>11</v>
      </c>
      <c r="G45" s="1">
        <f>VLOOKUP(A45,'[1]Test Cases'!$A:$K,10,FALSE)</f>
        <v>0</v>
      </c>
      <c r="H45" s="1">
        <f>VLOOKUP(A45,'[1]Test Cases'!$A:$K,11,FALSE)</f>
        <v>0</v>
      </c>
      <c r="I45" s="1" t="e">
        <f>VLOOKUP(H45,'[2]Bug Reports'!$A:$M,11,FALSE)</f>
        <v>#N/A</v>
      </c>
    </row>
    <row r="46" spans="1:9" x14ac:dyDescent="0.3">
      <c r="A46" s="1" t="s">
        <v>57</v>
      </c>
      <c r="B46" s="1" t="s">
        <v>43</v>
      </c>
      <c r="C46" s="3">
        <v>46278</v>
      </c>
      <c r="D46" s="1" t="s">
        <v>119</v>
      </c>
      <c r="E46" s="1" t="s">
        <v>120</v>
      </c>
      <c r="F46" s="1" t="s">
        <v>11</v>
      </c>
      <c r="G46" s="1">
        <f>VLOOKUP(A46,'[1]Test Cases'!$A:$K,10,FALSE)</f>
        <v>0</v>
      </c>
      <c r="H46" s="1">
        <f>VLOOKUP(A46,'[1]Test Cases'!$A:$K,11,FALSE)</f>
        <v>0</v>
      </c>
      <c r="I46" s="1" t="e">
        <f>VLOOKUP(H46,'[2]Bug Reports'!$A:$M,11,FALSE)</f>
        <v>#N/A</v>
      </c>
    </row>
    <row r="47" spans="1:9" x14ac:dyDescent="0.3">
      <c r="A47" s="1" t="s">
        <v>58</v>
      </c>
      <c r="B47" s="1" t="s">
        <v>43</v>
      </c>
      <c r="C47" s="3">
        <v>46278</v>
      </c>
      <c r="D47" s="1" t="s">
        <v>119</v>
      </c>
      <c r="E47" s="1" t="s">
        <v>120</v>
      </c>
      <c r="F47" s="1" t="s">
        <v>11</v>
      </c>
      <c r="G47" s="1">
        <f>VLOOKUP(A47,'[1]Test Cases'!$A:$K,10,FALSE)</f>
        <v>0</v>
      </c>
      <c r="H47" s="1">
        <f>VLOOKUP(A47,'[1]Test Cases'!$A:$K,11,FALSE)</f>
        <v>0</v>
      </c>
      <c r="I47" s="1" t="e">
        <f>VLOOKUP(H47,'[2]Bug Reports'!$A:$M,11,FALSE)</f>
        <v>#N/A</v>
      </c>
    </row>
    <row r="48" spans="1:9" x14ac:dyDescent="0.3">
      <c r="A48" s="1" t="s">
        <v>60</v>
      </c>
      <c r="B48" s="1" t="s">
        <v>43</v>
      </c>
      <c r="C48" s="3">
        <v>46278</v>
      </c>
      <c r="D48" s="1" t="s">
        <v>119</v>
      </c>
      <c r="E48" s="1" t="s">
        <v>120</v>
      </c>
      <c r="F48" s="1" t="s">
        <v>11</v>
      </c>
      <c r="G48" s="1">
        <f>VLOOKUP(A48,'[1]Test Cases'!$A:$K,10,FALSE)</f>
        <v>0</v>
      </c>
      <c r="H48" s="1">
        <f>VLOOKUP(A48,'[1]Test Cases'!$A:$K,11,FALSE)</f>
        <v>0</v>
      </c>
      <c r="I48" s="1" t="e">
        <f>VLOOKUP(H48,'[2]Bug Reports'!$A:$M,11,FALSE)</f>
        <v>#N/A</v>
      </c>
    </row>
    <row r="49" spans="1:9" x14ac:dyDescent="0.3">
      <c r="A49" s="1" t="s">
        <v>61</v>
      </c>
      <c r="B49" s="1" t="s">
        <v>43</v>
      </c>
      <c r="C49" s="3">
        <v>46278</v>
      </c>
      <c r="D49" s="1" t="s">
        <v>119</v>
      </c>
      <c r="E49" s="1" t="s">
        <v>120</v>
      </c>
      <c r="F49" s="1" t="s">
        <v>11</v>
      </c>
      <c r="G49" s="1">
        <f>VLOOKUP(A49,'[1]Test Cases'!$A:$K,10,FALSE)</f>
        <v>0</v>
      </c>
      <c r="H49" s="1">
        <f>VLOOKUP(A49,'[1]Test Cases'!$A:$K,11,FALSE)</f>
        <v>0</v>
      </c>
      <c r="I49" s="1" t="e">
        <f>VLOOKUP(H49,'[2]Bug Reports'!$A:$M,11,FALSE)</f>
        <v>#N/A</v>
      </c>
    </row>
    <row r="50" spans="1:9" x14ac:dyDescent="0.3">
      <c r="A50" s="1" t="s">
        <v>62</v>
      </c>
      <c r="B50" s="1" t="s">
        <v>43</v>
      </c>
      <c r="C50" s="3">
        <v>46278</v>
      </c>
      <c r="D50" s="1" t="s">
        <v>119</v>
      </c>
      <c r="E50" s="1" t="s">
        <v>120</v>
      </c>
      <c r="F50" s="1" t="s">
        <v>11</v>
      </c>
      <c r="G50" s="1">
        <f>VLOOKUP(A50,'[1]Test Cases'!$A:$K,10,FALSE)</f>
        <v>0</v>
      </c>
      <c r="H50" s="1">
        <f>VLOOKUP(A50,'[1]Test Cases'!$A:$K,11,FALSE)</f>
        <v>0</v>
      </c>
      <c r="I50" s="1" t="e">
        <f>VLOOKUP(H50,'[2]Bug Reports'!$A:$M,11,FALSE)</f>
        <v>#N/A</v>
      </c>
    </row>
    <row r="51" spans="1:9" ht="72" x14ac:dyDescent="0.3">
      <c r="A51" s="1" t="s">
        <v>63</v>
      </c>
      <c r="B51" s="1" t="s">
        <v>43</v>
      </c>
      <c r="C51" s="3">
        <v>46278</v>
      </c>
      <c r="D51" s="1" t="s">
        <v>119</v>
      </c>
      <c r="E51" s="1" t="s">
        <v>120</v>
      </c>
      <c r="F51" s="1" t="s">
        <v>11</v>
      </c>
      <c r="G51" s="1" t="str">
        <f>VLOOKUP(A51,'[1]Test Cases'!$A:$K,10,FALSE)</f>
        <v>Seared for "book" multiple results appeared i.e; "Apple MacBook Pro", "Samsung Premium Ultrabook", "HP Spectre XT Pro UltraBook" and when moved to nect page "HP Envy 15.6-Inch Sleekbook" was displayed and when moved to previous page older page with the actual results persisted.</v>
      </c>
      <c r="H51" s="1" t="str">
        <f>VLOOKUP(A51,'[1]Test Cases'!$A:$K,11,FALSE)</f>
        <v>NA</v>
      </c>
      <c r="I51" s="1" t="e">
        <f>VLOOKUP(H51,'[2]Bug Reports'!$A:$M,11,FALSE)</f>
        <v>#N/A</v>
      </c>
    </row>
    <row r="52" spans="1:9" x14ac:dyDescent="0.3">
      <c r="A52" s="1" t="s">
        <v>64</v>
      </c>
      <c r="B52" s="1" t="s">
        <v>43</v>
      </c>
      <c r="C52" s="3">
        <v>46278</v>
      </c>
      <c r="D52" s="1" t="s">
        <v>119</v>
      </c>
      <c r="E52" s="1" t="s">
        <v>120</v>
      </c>
      <c r="F52" s="1" t="s">
        <v>11</v>
      </c>
      <c r="G52" s="1">
        <f>VLOOKUP(A52,'[1]Test Cases'!$A:$K,10,FALSE)</f>
        <v>0</v>
      </c>
      <c r="H52" s="1">
        <f>VLOOKUP(A52,'[1]Test Cases'!$A:$K,11,FALSE)</f>
        <v>0</v>
      </c>
      <c r="I52" s="1" t="e">
        <f>VLOOKUP(H52,'[2]Bug Reports'!$A:$M,11,FALSE)</f>
        <v>#N/A</v>
      </c>
    </row>
    <row r="53" spans="1:9" x14ac:dyDescent="0.3">
      <c r="A53" s="1" t="s">
        <v>65</v>
      </c>
      <c r="B53" s="1" t="s">
        <v>43</v>
      </c>
      <c r="C53" s="3">
        <v>46278</v>
      </c>
      <c r="D53" s="1" t="s">
        <v>119</v>
      </c>
      <c r="E53" s="1" t="s">
        <v>120</v>
      </c>
      <c r="F53" s="1" t="s">
        <v>11</v>
      </c>
      <c r="G53" s="1">
        <f>VLOOKUP(A53,'[1]Test Cases'!$A:$K,10,FALSE)</f>
        <v>0</v>
      </c>
      <c r="H53" s="1">
        <f>VLOOKUP(A53,'[1]Test Cases'!$A:$K,11,FALSE)</f>
        <v>0</v>
      </c>
      <c r="I53" s="1" t="e">
        <f>VLOOKUP(H53,'[2]Bug Reports'!$A:$M,11,FALSE)</f>
        <v>#N/A</v>
      </c>
    </row>
    <row r="54" spans="1:9" x14ac:dyDescent="0.3">
      <c r="A54" s="1" t="s">
        <v>66</v>
      </c>
      <c r="B54" s="1" t="s">
        <v>43</v>
      </c>
      <c r="C54" s="3">
        <v>46278</v>
      </c>
      <c r="D54" s="1" t="s">
        <v>119</v>
      </c>
      <c r="E54" s="1" t="s">
        <v>120</v>
      </c>
      <c r="F54" s="1" t="s">
        <v>11</v>
      </c>
      <c r="G54" s="1">
        <f>VLOOKUP(A54,'[1]Test Cases'!$A:$K,10,FALSE)</f>
        <v>0</v>
      </c>
      <c r="H54" s="1">
        <f>VLOOKUP(A54,'[1]Test Cases'!$A:$K,11,FALSE)</f>
        <v>0</v>
      </c>
      <c r="I54" s="1" t="e">
        <f>VLOOKUP(H54,'[2]Bug Reports'!$A:$M,11,FALSE)</f>
        <v>#N/A</v>
      </c>
    </row>
    <row r="55" spans="1:9" ht="43.2" x14ac:dyDescent="0.3">
      <c r="A55" s="1" t="s">
        <v>67</v>
      </c>
      <c r="B55" s="1" t="s">
        <v>59</v>
      </c>
      <c r="C55" s="3">
        <v>46278</v>
      </c>
      <c r="D55" s="1" t="s">
        <v>119</v>
      </c>
      <c r="E55" s="1" t="s">
        <v>120</v>
      </c>
      <c r="F55" s="1" t="s">
        <v>11</v>
      </c>
      <c r="G55" s="1" t="str">
        <f>VLOOKUP(A55,'[1]Test Cases'!$A:$K,10,FALSE)</f>
        <v>When opened Categories, "Desktops", "Notebooks", "Software" categories appeared. When clicked on these categories, relevant products appeared.</v>
      </c>
      <c r="H55" s="1" t="str">
        <f>VLOOKUP(A55,'[1]Test Cases'!$A:$K,11,FALSE)</f>
        <v>NA</v>
      </c>
      <c r="I55" s="1" t="e">
        <f>VLOOKUP(H55,'[2]Bug Reports'!$A:$M,11,FALSE)</f>
        <v>#N/A</v>
      </c>
    </row>
    <row r="56" spans="1:9" x14ac:dyDescent="0.3">
      <c r="A56" s="1" t="s">
        <v>68</v>
      </c>
      <c r="B56" s="1" t="s">
        <v>59</v>
      </c>
      <c r="C56" s="3">
        <v>46278</v>
      </c>
      <c r="D56" s="1" t="s">
        <v>119</v>
      </c>
      <c r="E56" s="1" t="s">
        <v>120</v>
      </c>
      <c r="F56" s="1" t="s">
        <v>11</v>
      </c>
      <c r="G56" s="1">
        <f>VLOOKUP(A56,'[1]Test Cases'!$A:$K,10,FALSE)</f>
        <v>0</v>
      </c>
      <c r="H56" s="1">
        <f>VLOOKUP(A56,'[1]Test Cases'!$A:$K,11,FALSE)</f>
        <v>0</v>
      </c>
      <c r="I56" s="1" t="e">
        <f>VLOOKUP(H56,'[2]Bug Reports'!$A:$M,11,FALSE)</f>
        <v>#N/A</v>
      </c>
    </row>
    <row r="57" spans="1:9" x14ac:dyDescent="0.3">
      <c r="A57" s="1" t="s">
        <v>69</v>
      </c>
      <c r="B57" s="1" t="s">
        <v>59</v>
      </c>
      <c r="C57" s="3">
        <v>46278</v>
      </c>
      <c r="D57" s="1" t="s">
        <v>119</v>
      </c>
      <c r="E57" s="1" t="s">
        <v>120</v>
      </c>
      <c r="F57" s="1" t="s">
        <v>11</v>
      </c>
      <c r="G57" s="1">
        <f>VLOOKUP(A57,'[1]Test Cases'!$A:$K,10,FALSE)</f>
        <v>0</v>
      </c>
      <c r="H57" s="1">
        <f>VLOOKUP(A57,'[1]Test Cases'!$A:$K,11,FALSE)</f>
        <v>0</v>
      </c>
      <c r="I57" s="1" t="e">
        <f>VLOOKUP(H57,'[2]Bug Reports'!$A:$M,11,FALSE)</f>
        <v>#N/A</v>
      </c>
    </row>
    <row r="58" spans="1:9" x14ac:dyDescent="0.3">
      <c r="A58" s="1" t="s">
        <v>70</v>
      </c>
      <c r="B58" s="1" t="s">
        <v>59</v>
      </c>
      <c r="C58" s="3">
        <v>46278</v>
      </c>
      <c r="D58" s="1" t="s">
        <v>119</v>
      </c>
      <c r="E58" s="1" t="s">
        <v>120</v>
      </c>
      <c r="F58" s="1" t="s">
        <v>11</v>
      </c>
      <c r="G58" s="1">
        <f>VLOOKUP(A58,'[1]Test Cases'!$A:$K,10,FALSE)</f>
        <v>0</v>
      </c>
      <c r="H58" s="1">
        <f>VLOOKUP(A58,'[1]Test Cases'!$A:$K,11,FALSE)</f>
        <v>0</v>
      </c>
      <c r="I58" s="1" t="e">
        <f>VLOOKUP(H58,'[2]Bug Reports'!$A:$M,11,FALSE)</f>
        <v>#N/A</v>
      </c>
    </row>
    <row r="59" spans="1:9" x14ac:dyDescent="0.3">
      <c r="A59" s="1" t="s">
        <v>71</v>
      </c>
      <c r="B59" s="1" t="s">
        <v>59</v>
      </c>
      <c r="C59" s="3">
        <v>46278</v>
      </c>
      <c r="D59" s="1" t="s">
        <v>119</v>
      </c>
      <c r="E59" s="1" t="s">
        <v>120</v>
      </c>
      <c r="F59" s="1" t="s">
        <v>11</v>
      </c>
      <c r="G59" s="1">
        <f>VLOOKUP(A59,'[1]Test Cases'!$A:$K,10,FALSE)</f>
        <v>0</v>
      </c>
      <c r="H59" s="1">
        <f>VLOOKUP(A59,'[1]Test Cases'!$A:$K,11,FALSE)</f>
        <v>0</v>
      </c>
      <c r="I59" s="1" t="e">
        <f>VLOOKUP(H59,'[2]Bug Reports'!$A:$M,11,FALSE)</f>
        <v>#N/A</v>
      </c>
    </row>
    <row r="60" spans="1:9" x14ac:dyDescent="0.3">
      <c r="A60" s="1" t="s">
        <v>72</v>
      </c>
      <c r="B60" s="1" t="s">
        <v>59</v>
      </c>
      <c r="C60" s="3">
        <v>46278</v>
      </c>
      <c r="D60" s="1" t="s">
        <v>119</v>
      </c>
      <c r="E60" s="1" t="s">
        <v>120</v>
      </c>
      <c r="F60" s="1" t="s">
        <v>11</v>
      </c>
      <c r="G60" s="1">
        <f>VLOOKUP(A60,'[1]Test Cases'!$A:$K,10,FALSE)</f>
        <v>0</v>
      </c>
      <c r="H60" s="1">
        <f>VLOOKUP(A60,'[1]Test Cases'!$A:$K,11,FALSE)</f>
        <v>0</v>
      </c>
      <c r="I60" s="1" t="e">
        <f>VLOOKUP(H60,'[2]Bug Reports'!$A:$M,11,FALSE)</f>
        <v>#N/A</v>
      </c>
    </row>
    <row r="61" spans="1:9" ht="28.8" x14ac:dyDescent="0.3">
      <c r="A61" s="1" t="s">
        <v>73</v>
      </c>
      <c r="B61" s="1" t="s">
        <v>59</v>
      </c>
      <c r="C61" s="3">
        <v>46278</v>
      </c>
      <c r="D61" s="1" t="s">
        <v>119</v>
      </c>
      <c r="E61" s="1" t="s">
        <v>120</v>
      </c>
      <c r="F61" s="1" t="s">
        <v>11</v>
      </c>
      <c r="G61" s="1" t="str">
        <f>VLOOKUP(A61,'[1]Test Cases'!$A:$K,10,FALSE)</f>
        <v>When clicked on "Computers" -&gt; "Desktops" -&gt; "Build Your own computer", Its details page successfully loads.</v>
      </c>
      <c r="H61" s="1" t="str">
        <f>VLOOKUP(A61,'[1]Test Cases'!$A:$K,11,FALSE)</f>
        <v>NA</v>
      </c>
      <c r="I61" s="1" t="e">
        <f>VLOOKUP(H61,'[2]Bug Reports'!$A:$M,11,FALSE)</f>
        <v>#N/A</v>
      </c>
    </row>
    <row r="62" spans="1:9" x14ac:dyDescent="0.3">
      <c r="A62" s="1" t="s">
        <v>74</v>
      </c>
      <c r="B62" s="1" t="s">
        <v>59</v>
      </c>
      <c r="C62" s="3">
        <v>46278</v>
      </c>
      <c r="D62" s="1" t="s">
        <v>119</v>
      </c>
      <c r="E62" s="1" t="s">
        <v>120</v>
      </c>
      <c r="F62" s="1" t="s">
        <v>11</v>
      </c>
      <c r="G62" s="1" t="str">
        <f>VLOOKUP(A62,'[1]Test Cases'!$A:$K,10,FALSE)</f>
        <v>Correct product image diapled on the details page.</v>
      </c>
      <c r="H62" s="1" t="str">
        <f>VLOOKUP(A62,'[1]Test Cases'!$A:$K,11,FALSE)</f>
        <v>NA</v>
      </c>
      <c r="I62" s="1" t="e">
        <f>VLOOKUP(H62,'[2]Bug Reports'!$A:$M,11,FALSE)</f>
        <v>#N/A</v>
      </c>
    </row>
    <row r="63" spans="1:9" x14ac:dyDescent="0.3">
      <c r="A63" s="1" t="s">
        <v>76</v>
      </c>
      <c r="B63" s="1" t="s">
        <v>59</v>
      </c>
      <c r="C63" s="3">
        <v>46278</v>
      </c>
      <c r="D63" s="1" t="s">
        <v>119</v>
      </c>
      <c r="E63" s="1" t="s">
        <v>120</v>
      </c>
      <c r="F63" s="1" t="s">
        <v>11</v>
      </c>
      <c r="G63" s="1" t="str">
        <f>VLOOKUP(A63,'[1]Test Cases'!$A:$K,10,FALSE)</f>
        <v>Product price displayed in a proper formatted manner.</v>
      </c>
      <c r="H63" s="1" t="str">
        <f>VLOOKUP(A63,'[1]Test Cases'!$A:$K,11,FALSE)</f>
        <v>NA</v>
      </c>
      <c r="I63" s="1" t="e">
        <f>VLOOKUP(H63,'[2]Bug Reports'!$A:$M,11,FALSE)</f>
        <v>#N/A</v>
      </c>
    </row>
    <row r="64" spans="1:9" x14ac:dyDescent="0.3">
      <c r="A64" s="1" t="s">
        <v>77</v>
      </c>
      <c r="B64" s="1" t="s">
        <v>59</v>
      </c>
      <c r="C64" s="3">
        <v>46278</v>
      </c>
      <c r="D64" s="1" t="s">
        <v>119</v>
      </c>
      <c r="E64" s="1" t="s">
        <v>120</v>
      </c>
      <c r="F64" s="1" t="s">
        <v>11</v>
      </c>
      <c r="G64" s="1">
        <f>VLOOKUP(A64,'[1]Test Cases'!$A:$K,10,FALSE)</f>
        <v>0</v>
      </c>
      <c r="H64" s="1">
        <f>VLOOKUP(A64,'[1]Test Cases'!$A:$K,11,FALSE)</f>
        <v>0</v>
      </c>
      <c r="I64" s="1" t="e">
        <f>VLOOKUP(H64,'[2]Bug Reports'!$A:$M,11,FALSE)</f>
        <v>#N/A</v>
      </c>
    </row>
    <row r="65" spans="1:9" x14ac:dyDescent="0.3">
      <c r="A65" s="1" t="s">
        <v>78</v>
      </c>
      <c r="B65" s="1" t="s">
        <v>59</v>
      </c>
      <c r="C65" s="3">
        <v>46278</v>
      </c>
      <c r="D65" s="1" t="s">
        <v>119</v>
      </c>
      <c r="E65" s="1" t="s">
        <v>120</v>
      </c>
      <c r="F65" s="1" t="s">
        <v>11</v>
      </c>
      <c r="G65" s="1">
        <f>VLOOKUP(A65,'[1]Test Cases'!$A:$K,10,FALSE)</f>
        <v>0</v>
      </c>
      <c r="H65" s="1">
        <f>VLOOKUP(A65,'[1]Test Cases'!$A:$K,11,FALSE)</f>
        <v>0</v>
      </c>
      <c r="I65" s="1" t="e">
        <f>VLOOKUP(H65,'[2]Bug Reports'!$A:$M,11,FALSE)</f>
        <v>#N/A</v>
      </c>
    </row>
    <row r="66" spans="1:9" x14ac:dyDescent="0.3">
      <c r="A66" s="1" t="s">
        <v>79</v>
      </c>
      <c r="B66" s="1" t="s">
        <v>59</v>
      </c>
      <c r="C66" s="3">
        <v>46278</v>
      </c>
      <c r="D66" s="1" t="s">
        <v>119</v>
      </c>
      <c r="E66" s="1" t="s">
        <v>120</v>
      </c>
      <c r="F66" s="1" t="s">
        <v>11</v>
      </c>
      <c r="G66" s="1">
        <f>VLOOKUP(A66,'[1]Test Cases'!$A:$K,10,FALSE)</f>
        <v>0</v>
      </c>
      <c r="H66" s="1">
        <f>VLOOKUP(A66,'[1]Test Cases'!$A:$K,11,FALSE)</f>
        <v>0</v>
      </c>
      <c r="I66" s="1" t="e">
        <f>VLOOKUP(H66,'[2]Bug Reports'!$A:$M,11,FALSE)</f>
        <v>#N/A</v>
      </c>
    </row>
    <row r="67" spans="1:9" x14ac:dyDescent="0.3">
      <c r="A67" s="1" t="s">
        <v>80</v>
      </c>
      <c r="B67" s="1" t="s">
        <v>59</v>
      </c>
      <c r="C67" s="3">
        <v>46278</v>
      </c>
      <c r="D67" s="1" t="s">
        <v>119</v>
      </c>
      <c r="E67" s="1" t="s">
        <v>120</v>
      </c>
      <c r="F67" s="1" t="s">
        <v>11</v>
      </c>
      <c r="G67" s="1">
        <f>VLOOKUP(A67,'[1]Test Cases'!$A:$K,10,FALSE)</f>
        <v>0</v>
      </c>
      <c r="H67" s="1">
        <f>VLOOKUP(A67,'[1]Test Cases'!$A:$K,11,FALSE)</f>
        <v>0</v>
      </c>
      <c r="I67" s="1" t="e">
        <f>VLOOKUP(H67,'[2]Bug Reports'!$A:$M,11,FALSE)</f>
        <v>#N/A</v>
      </c>
    </row>
    <row r="68" spans="1:9" x14ac:dyDescent="0.3">
      <c r="A68" s="1" t="s">
        <v>81</v>
      </c>
      <c r="B68" s="1" t="s">
        <v>59</v>
      </c>
      <c r="C68" s="3">
        <v>46278</v>
      </c>
      <c r="D68" s="1" t="s">
        <v>119</v>
      </c>
      <c r="E68" s="1" t="s">
        <v>120</v>
      </c>
      <c r="F68" s="1" t="s">
        <v>11</v>
      </c>
      <c r="G68" s="1">
        <f>VLOOKUP(A68,'[1]Test Cases'!$A:$K,10,FALSE)</f>
        <v>0</v>
      </c>
      <c r="H68" s="1">
        <f>VLOOKUP(A68,'[1]Test Cases'!$A:$K,11,FALSE)</f>
        <v>0</v>
      </c>
      <c r="I68" s="1" t="e">
        <f>VLOOKUP(H68,'[2]Bug Reports'!$A:$M,11,FALSE)</f>
        <v>#N/A</v>
      </c>
    </row>
    <row r="69" spans="1:9" x14ac:dyDescent="0.3">
      <c r="A69" s="1" t="s">
        <v>83</v>
      </c>
      <c r="B69" s="1" t="s">
        <v>59</v>
      </c>
      <c r="C69" s="3">
        <v>46278</v>
      </c>
      <c r="D69" s="1" t="s">
        <v>119</v>
      </c>
      <c r="E69" s="1" t="s">
        <v>120</v>
      </c>
      <c r="F69" s="1" t="s">
        <v>11</v>
      </c>
      <c r="G69" s="1" t="str">
        <f>VLOOKUP(A69,'[1]Test Cases'!$A:$K,10,FALSE)</f>
        <v>Page reloaded successfully without any error</v>
      </c>
      <c r="H69" s="1" t="str">
        <f>VLOOKUP(A69,'[1]Test Cases'!$A:$K,11,FALSE)</f>
        <v>NA</v>
      </c>
      <c r="I69" s="1" t="e">
        <f>VLOOKUP(H69,'[2]Bug Reports'!$A:$M,11,FALSE)</f>
        <v>#N/A</v>
      </c>
    </row>
    <row r="70" spans="1:9" x14ac:dyDescent="0.3">
      <c r="A70" s="1" t="s">
        <v>84</v>
      </c>
      <c r="B70" s="1" t="s">
        <v>75</v>
      </c>
      <c r="C70" s="3">
        <v>46278</v>
      </c>
      <c r="D70" s="1" t="s">
        <v>119</v>
      </c>
      <c r="E70" s="1" t="s">
        <v>120</v>
      </c>
      <c r="F70" s="1" t="s">
        <v>11</v>
      </c>
      <c r="G70" s="1" t="str">
        <f>VLOOKUP(A70,'[1]Test Cases'!$A:$K,10,FALSE)</f>
        <v>Product was added to the whishlist successfully.</v>
      </c>
      <c r="H70" s="1" t="str">
        <f>VLOOKUP(A70,'[1]Test Cases'!$A:$K,11,FALSE)</f>
        <v>NA</v>
      </c>
      <c r="I70" s="1" t="e">
        <f>VLOOKUP(H70,'[2]Bug Reports'!$A:$M,11,FALSE)</f>
        <v>#N/A</v>
      </c>
    </row>
    <row r="71" spans="1:9" x14ac:dyDescent="0.3">
      <c r="A71" s="1" t="s">
        <v>85</v>
      </c>
      <c r="B71" s="1" t="s">
        <v>75</v>
      </c>
      <c r="C71" s="3">
        <v>46278</v>
      </c>
      <c r="D71" s="1" t="s">
        <v>119</v>
      </c>
      <c r="E71" s="1" t="s">
        <v>120</v>
      </c>
      <c r="F71" s="1" t="s">
        <v>11</v>
      </c>
      <c r="G71" s="1">
        <f>VLOOKUP(A71,'[1]Test Cases'!$A:$K,10,FALSE)</f>
        <v>0</v>
      </c>
      <c r="H71" s="1">
        <f>VLOOKUP(A71,'[1]Test Cases'!$A:$K,11,FALSE)</f>
        <v>0</v>
      </c>
      <c r="I71" s="1" t="e">
        <f>VLOOKUP(H71,'[2]Bug Reports'!$A:$M,11,FALSE)</f>
        <v>#N/A</v>
      </c>
    </row>
    <row r="72" spans="1:9" x14ac:dyDescent="0.3">
      <c r="A72" s="1" t="s">
        <v>86</v>
      </c>
      <c r="B72" s="1" t="s">
        <v>75</v>
      </c>
      <c r="C72" s="3">
        <v>46278</v>
      </c>
      <c r="D72" s="1" t="s">
        <v>119</v>
      </c>
      <c r="E72" s="1" t="s">
        <v>120</v>
      </c>
      <c r="F72" s="1" t="s">
        <v>11</v>
      </c>
      <c r="G72" s="1">
        <f>VLOOKUP(A72,'[1]Test Cases'!$A:$K,10,FALSE)</f>
        <v>0</v>
      </c>
      <c r="H72" s="1">
        <f>VLOOKUP(A72,'[1]Test Cases'!$A:$K,11,FALSE)</f>
        <v>0</v>
      </c>
      <c r="I72" s="1" t="e">
        <f>VLOOKUP(H72,'[2]Bug Reports'!$A:$M,11,FALSE)</f>
        <v>#N/A</v>
      </c>
    </row>
    <row r="73" spans="1:9" ht="28.8" x14ac:dyDescent="0.3">
      <c r="A73" s="1" t="s">
        <v>87</v>
      </c>
      <c r="B73" s="1" t="s">
        <v>75</v>
      </c>
      <c r="C73" s="3">
        <v>46278</v>
      </c>
      <c r="D73" s="1" t="s">
        <v>119</v>
      </c>
      <c r="E73" s="1" t="s">
        <v>120</v>
      </c>
      <c r="F73" s="1" t="s">
        <v>11</v>
      </c>
      <c r="G73" s="1" t="str">
        <f>VLOOKUP(A73,'[1]Test Cases'!$A:$K,10,FALSE)</f>
        <v>Whishlist pages opens successfully and whishlisted products are displayed properly.</v>
      </c>
      <c r="H73" s="1" t="str">
        <f>VLOOKUP(A73,'[1]Test Cases'!$A:$K,11,FALSE)</f>
        <v>NA</v>
      </c>
      <c r="I73" s="1" t="e">
        <f>VLOOKUP(H73,'[2]Bug Reports'!$A:$M,11,FALSE)</f>
        <v>#N/A</v>
      </c>
    </row>
    <row r="74" spans="1:9" x14ac:dyDescent="0.3">
      <c r="A74" s="1" t="s">
        <v>89</v>
      </c>
      <c r="B74" s="1" t="s">
        <v>75</v>
      </c>
      <c r="C74" s="3">
        <v>46278</v>
      </c>
      <c r="D74" s="1" t="s">
        <v>119</v>
      </c>
      <c r="E74" s="1" t="s">
        <v>120</v>
      </c>
      <c r="F74" s="1" t="s">
        <v>11</v>
      </c>
      <c r="G74" s="1">
        <f>VLOOKUP(A74,'[1]Test Cases'!$A:$K,10,FALSE)</f>
        <v>0</v>
      </c>
      <c r="H74" s="1">
        <f>VLOOKUP(A74,'[1]Test Cases'!$A:$K,11,FALSE)</f>
        <v>0</v>
      </c>
      <c r="I74" s="1" t="e">
        <f>VLOOKUP(H74,'[2]Bug Reports'!$A:$M,11,FALSE)</f>
        <v>#N/A</v>
      </c>
    </row>
    <row r="75" spans="1:9" x14ac:dyDescent="0.3">
      <c r="A75" s="1" t="s">
        <v>90</v>
      </c>
      <c r="B75" s="1" t="s">
        <v>75</v>
      </c>
      <c r="C75" s="3">
        <v>46278</v>
      </c>
      <c r="D75" s="1" t="s">
        <v>119</v>
      </c>
      <c r="E75" s="1" t="s">
        <v>120</v>
      </c>
      <c r="F75" s="1" t="s">
        <v>11</v>
      </c>
      <c r="G75" s="1">
        <f>VLOOKUP(A75,'[1]Test Cases'!$A:$K,10,FALSE)</f>
        <v>0</v>
      </c>
      <c r="H75" s="1">
        <f>VLOOKUP(A75,'[1]Test Cases'!$A:$K,11,FALSE)</f>
        <v>0</v>
      </c>
      <c r="I75" s="1" t="e">
        <f>VLOOKUP(H75,'[2]Bug Reports'!$A:$M,11,FALSE)</f>
        <v>#N/A</v>
      </c>
    </row>
    <row r="76" spans="1:9" ht="28.8" x14ac:dyDescent="0.3">
      <c r="A76" s="1" t="s">
        <v>91</v>
      </c>
      <c r="B76" s="1" t="s">
        <v>82</v>
      </c>
      <c r="C76" s="3">
        <v>46278</v>
      </c>
      <c r="D76" s="1" t="s">
        <v>119</v>
      </c>
      <c r="E76" s="1" t="s">
        <v>120</v>
      </c>
      <c r="F76" s="1" t="s">
        <v>11</v>
      </c>
      <c r="G76" s="1" t="str">
        <f>VLOOKUP(A76,'[1]Test Cases'!$A:$K,10,FALSE)</f>
        <v>Products were added to the Compare Products and compared side by side.</v>
      </c>
      <c r="H76" s="1" t="str">
        <f>VLOOKUP(A76,'[1]Test Cases'!$A:$K,11,FALSE)</f>
        <v>NA</v>
      </c>
      <c r="I76" s="1" t="e">
        <f>VLOOKUP(H76,'[2]Bug Reports'!$A:$M,11,FALSE)</f>
        <v>#N/A</v>
      </c>
    </row>
    <row r="77" spans="1:9" ht="28.8" x14ac:dyDescent="0.3">
      <c r="A77" s="1" t="s">
        <v>92</v>
      </c>
      <c r="B77" s="1" t="s">
        <v>82</v>
      </c>
      <c r="C77" s="3">
        <v>46278</v>
      </c>
      <c r="D77" s="1" t="s">
        <v>119</v>
      </c>
      <c r="E77" s="1" t="s">
        <v>120</v>
      </c>
      <c r="F77" s="1" t="s">
        <v>11</v>
      </c>
      <c r="G77" s="1" t="str">
        <f>VLOOKUP(A77,'[1]Test Cases'!$A:$K,10,FALSE)</f>
        <v>Multiple products were added to the Compare Products and compared side by side.</v>
      </c>
      <c r="H77" s="1" t="str">
        <f>VLOOKUP(A77,'[1]Test Cases'!$A:$K,11,FALSE)</f>
        <v>NA</v>
      </c>
      <c r="I77" s="1" t="e">
        <f>VLOOKUP(H77,'[2]Bug Reports'!$A:$M,11,FALSE)</f>
        <v>#N/A</v>
      </c>
    </row>
    <row r="78" spans="1:9" x14ac:dyDescent="0.3">
      <c r="A78" s="1" t="s">
        <v>93</v>
      </c>
      <c r="B78" s="1" t="s">
        <v>82</v>
      </c>
      <c r="C78" s="3">
        <v>46278</v>
      </c>
      <c r="D78" s="1" t="s">
        <v>119</v>
      </c>
      <c r="E78" s="1" t="s">
        <v>120</v>
      </c>
      <c r="F78" s="1" t="s">
        <v>11</v>
      </c>
      <c r="G78" s="1">
        <f>VLOOKUP(A78,'[1]Test Cases'!$A:$K,10,FALSE)</f>
        <v>0</v>
      </c>
      <c r="H78" s="1">
        <f>VLOOKUP(A78,'[1]Test Cases'!$A:$K,11,FALSE)</f>
        <v>0</v>
      </c>
      <c r="I78" s="1" t="e">
        <f>VLOOKUP(H78,'[2]Bug Reports'!$A:$M,11,FALSE)</f>
        <v>#N/A</v>
      </c>
    </row>
    <row r="79" spans="1:9" ht="28.8" x14ac:dyDescent="0.3">
      <c r="A79" s="1" t="s">
        <v>94</v>
      </c>
      <c r="B79" s="1" t="s">
        <v>82</v>
      </c>
      <c r="C79" s="3">
        <v>46278</v>
      </c>
      <c r="D79" s="1" t="s">
        <v>119</v>
      </c>
      <c r="E79" s="1" t="s">
        <v>120</v>
      </c>
      <c r="F79" s="1" t="s">
        <v>11</v>
      </c>
      <c r="G79" s="1" t="str">
        <f>VLOOKUP(A79,'[1]Test Cases'!$A:$K,10,FALSE)</f>
        <v>The product was removed from compare list when clicked on  "Remove" with any error.</v>
      </c>
      <c r="H79" s="1" t="str">
        <f>VLOOKUP(A79,'[1]Test Cases'!$A:$K,11,FALSE)</f>
        <v>NA</v>
      </c>
      <c r="I79" s="1" t="e">
        <f>VLOOKUP(H79,'[2]Bug Reports'!$A:$M,11,FALSE)</f>
        <v>#N/A</v>
      </c>
    </row>
    <row r="80" spans="1:9" x14ac:dyDescent="0.3">
      <c r="A80" s="1" t="s">
        <v>95</v>
      </c>
      <c r="B80" s="1" t="s">
        <v>82</v>
      </c>
      <c r="C80" s="3">
        <v>46278</v>
      </c>
      <c r="D80" s="1" t="s">
        <v>119</v>
      </c>
      <c r="E80" s="1" t="s">
        <v>120</v>
      </c>
      <c r="F80" s="1" t="s">
        <v>11</v>
      </c>
      <c r="G80" s="1">
        <f>VLOOKUP(A80,'[1]Test Cases'!$A:$K,10,FALSE)</f>
        <v>0</v>
      </c>
      <c r="H80" s="1">
        <f>VLOOKUP(A80,'[1]Test Cases'!$A:$K,11,FALSE)</f>
        <v>0</v>
      </c>
      <c r="I80" s="1" t="e">
        <f>VLOOKUP(H80,'[2]Bug Reports'!$A:$M,11,FALSE)</f>
        <v>#N/A</v>
      </c>
    </row>
    <row r="81" spans="1:9" x14ac:dyDescent="0.3">
      <c r="A81" s="1" t="s">
        <v>96</v>
      </c>
      <c r="B81" s="1" t="s">
        <v>88</v>
      </c>
      <c r="C81" s="3">
        <v>46278</v>
      </c>
      <c r="D81" s="1" t="s">
        <v>119</v>
      </c>
      <c r="E81" s="1" t="s">
        <v>120</v>
      </c>
      <c r="F81" s="1" t="s">
        <v>11</v>
      </c>
      <c r="G81" s="1" t="str">
        <f>VLOOKUP(A81,'[1]Test Cases'!$A:$K,10,FALSE)</f>
        <v>Products were added to the cart successfully.</v>
      </c>
      <c r="H81" s="1" t="str">
        <f>VLOOKUP(A81,'[1]Test Cases'!$A:$K,11,FALSE)</f>
        <v>NA</v>
      </c>
      <c r="I81" s="1" t="e">
        <f>VLOOKUP(H81,'[2]Bug Reports'!$A:$M,11,FALSE)</f>
        <v>#N/A</v>
      </c>
    </row>
    <row r="82" spans="1:9" ht="43.2" x14ac:dyDescent="0.3">
      <c r="A82" s="1" t="s">
        <v>97</v>
      </c>
      <c r="B82" s="1" t="s">
        <v>88</v>
      </c>
      <c r="C82" s="3">
        <v>46278</v>
      </c>
      <c r="D82" s="1" t="s">
        <v>119</v>
      </c>
      <c r="E82" s="1" t="s">
        <v>120</v>
      </c>
      <c r="F82" s="1" t="s">
        <v>11</v>
      </c>
      <c r="G82" s="1" t="str">
        <f>VLOOKUP(A82,'[1]Test Cases'!$A:$K,10,FALSE)</f>
        <v>Increased the product quantity to 4. The cart count updated accordingly and remained correct after closing and reopening the cart.</v>
      </c>
      <c r="H82" s="1" t="str">
        <f>VLOOKUP(A82,'[1]Test Cases'!$A:$K,11,FALSE)</f>
        <v>NA</v>
      </c>
      <c r="I82" s="1" t="e">
        <f>VLOOKUP(H82,'[2]Bug Reports'!$A:$M,11,FALSE)</f>
        <v>#N/A</v>
      </c>
    </row>
    <row r="83" spans="1:9" x14ac:dyDescent="0.3">
      <c r="A83" s="1" t="s">
        <v>98</v>
      </c>
      <c r="B83" s="1" t="s">
        <v>88</v>
      </c>
      <c r="C83" s="3">
        <v>46278</v>
      </c>
      <c r="D83" s="1" t="s">
        <v>119</v>
      </c>
      <c r="E83" s="1" t="s">
        <v>120</v>
      </c>
      <c r="F83" s="1" t="s">
        <v>11</v>
      </c>
      <c r="G83" s="1" t="str">
        <f>VLOOKUP(A83,'[1]Test Cases'!$A:$K,10,FALSE)</f>
        <v>Cart opened and added ites showed up properly.</v>
      </c>
      <c r="H83" s="1" t="str">
        <f>VLOOKUP(A83,'[1]Test Cases'!$A:$K,11,FALSE)</f>
        <v>NA</v>
      </c>
      <c r="I83" s="1" t="e">
        <f>VLOOKUP(H83,'[2]Bug Reports'!$A:$M,11,FALSE)</f>
        <v>#N/A</v>
      </c>
    </row>
    <row r="84" spans="1:9" ht="43.2" x14ac:dyDescent="0.3">
      <c r="A84" s="1" t="s">
        <v>99</v>
      </c>
      <c r="B84" s="1" t="s">
        <v>88</v>
      </c>
      <c r="C84" s="3">
        <v>46278</v>
      </c>
      <c r="D84" s="1" t="s">
        <v>119</v>
      </c>
      <c r="E84" s="1" t="s">
        <v>120</v>
      </c>
      <c r="F84" s="1" t="s">
        <v>11</v>
      </c>
      <c r="G84" s="1" t="str">
        <f>VLOOKUP(A84,'[1]Test Cases'!$A:$K,10,FALSE)</f>
        <v>Quantity was increased to 10,000 and the estimated total amount was updated accordingly. No maximum quantity restriction was displayed.</v>
      </c>
      <c r="H84" s="1" t="str">
        <f>VLOOKUP(A84,'[1]Test Cases'!$A:$K,11,FALSE)</f>
        <v>NA</v>
      </c>
      <c r="I84" s="1" t="e">
        <f>VLOOKUP(H84,'[2]Bug Reports'!$A:$M,11,FALSE)</f>
        <v>#N/A</v>
      </c>
    </row>
    <row r="85" spans="1:9" x14ac:dyDescent="0.3">
      <c r="A85" s="1" t="s">
        <v>100</v>
      </c>
      <c r="B85" s="1" t="s">
        <v>88</v>
      </c>
      <c r="C85" s="3">
        <v>46278</v>
      </c>
      <c r="D85" s="1" t="s">
        <v>119</v>
      </c>
      <c r="E85" s="1" t="s">
        <v>120</v>
      </c>
      <c r="F85" s="1" t="s">
        <v>11</v>
      </c>
      <c r="G85" s="1">
        <f>VLOOKUP(A85,'[1]Test Cases'!$A:$K,10,FALSE)</f>
        <v>0</v>
      </c>
      <c r="H85" s="1">
        <f>VLOOKUP(A85,'[1]Test Cases'!$A:$K,11,FALSE)</f>
        <v>0</v>
      </c>
      <c r="I85" s="1" t="e">
        <f>VLOOKUP(H85,'[2]Bug Reports'!$A:$M,11,FALSE)</f>
        <v>#N/A</v>
      </c>
    </row>
    <row r="86" spans="1:9" ht="28.8" x14ac:dyDescent="0.3">
      <c r="A86" s="1" t="s">
        <v>101</v>
      </c>
      <c r="B86" s="1" t="s">
        <v>88</v>
      </c>
      <c r="C86" s="3">
        <v>46278</v>
      </c>
      <c r="D86" s="1" t="s">
        <v>119</v>
      </c>
      <c r="E86" s="1" t="s">
        <v>120</v>
      </c>
      <c r="F86" s="1" t="s">
        <v>11</v>
      </c>
      <c r="G86" s="1" t="str">
        <f>VLOOKUP(A86,'[1]Test Cases'!$A:$K,10,FALSE)</f>
        <v>Item was successfully removed from the cart. The item count and total price were recalculated and updated accordingly.</v>
      </c>
      <c r="H86" s="1" t="str">
        <f>VLOOKUP(A86,'[1]Test Cases'!$A:$K,11,FALSE)</f>
        <v>NA</v>
      </c>
      <c r="I86" s="1" t="e">
        <f>VLOOKUP(H86,'[2]Bug Reports'!$A:$M,11,FALSE)</f>
        <v>#N/A</v>
      </c>
    </row>
    <row r="87" spans="1:9" ht="43.2" x14ac:dyDescent="0.3">
      <c r="A87" s="1" t="s">
        <v>102</v>
      </c>
      <c r="B87" s="1" t="s">
        <v>88</v>
      </c>
      <c r="C87" s="3">
        <v>46278</v>
      </c>
      <c r="D87" s="1" t="s">
        <v>119</v>
      </c>
      <c r="E87" s="1" t="s">
        <v>120</v>
      </c>
      <c r="F87" s="1" t="s">
        <v>11</v>
      </c>
      <c r="G87" s="1" t="str">
        <f>VLOOKUP(A87,'[1]Test Cases'!$A:$K,10,FALSE)</f>
        <v>Multiple products were added to the cart. Each product displayed the correct quantity, and the corresponding totals were updated correctly.</v>
      </c>
      <c r="H87" s="1" t="str">
        <f>VLOOKUP(A87,'[1]Test Cases'!$A:$K,11,FALSE)</f>
        <v>NA</v>
      </c>
      <c r="I87" s="1" t="e">
        <f>VLOOKUP(H87,'[2]Bug Reports'!$A:$M,11,FALSE)</f>
        <v>#N/A</v>
      </c>
    </row>
    <row r="88" spans="1:9" ht="28.8" x14ac:dyDescent="0.3">
      <c r="A88" s="1" t="s">
        <v>104</v>
      </c>
      <c r="B88" s="1" t="s">
        <v>88</v>
      </c>
      <c r="C88" s="3">
        <v>46278</v>
      </c>
      <c r="D88" s="1" t="s">
        <v>119</v>
      </c>
      <c r="E88" s="1" t="s">
        <v>120</v>
      </c>
      <c r="F88" s="1" t="s">
        <v>11</v>
      </c>
      <c r="G88" s="1" t="str">
        <f>VLOOKUP(A88,'[1]Test Cases'!$A:$K,10,FALSE)</f>
        <v>Subtotal was recalculated correctly based on the product price and quantity.</v>
      </c>
      <c r="H88" s="1" t="str">
        <f>VLOOKUP(A88,'[1]Test Cases'!$A:$K,11,FALSE)</f>
        <v>NA</v>
      </c>
      <c r="I88" s="1" t="e">
        <f>VLOOKUP(H88,'[2]Bug Reports'!$A:$M,11,FALSE)</f>
        <v>#N/A</v>
      </c>
    </row>
    <row r="89" spans="1:9" x14ac:dyDescent="0.3">
      <c r="A89" s="1" t="s">
        <v>105</v>
      </c>
      <c r="B89" s="1" t="s">
        <v>88</v>
      </c>
      <c r="C89" s="3">
        <v>46278</v>
      </c>
      <c r="D89" s="1" t="s">
        <v>119</v>
      </c>
      <c r="E89" s="1" t="s">
        <v>120</v>
      </c>
      <c r="F89" s="1" t="s">
        <v>11</v>
      </c>
      <c r="G89" s="1">
        <f>VLOOKUP(A89,'[1]Test Cases'!$A:$K,10,FALSE)</f>
        <v>0</v>
      </c>
      <c r="H89" s="1">
        <f>VLOOKUP(A89,'[1]Test Cases'!$A:$K,11,FALSE)</f>
        <v>0</v>
      </c>
      <c r="I89" s="1" t="e">
        <f>VLOOKUP(H89,'[2]Bug Reports'!$A:$M,11,FALSE)</f>
        <v>#N/A</v>
      </c>
    </row>
    <row r="90" spans="1:9" x14ac:dyDescent="0.3">
      <c r="A90" s="1" t="s">
        <v>106</v>
      </c>
      <c r="B90" s="1" t="s">
        <v>88</v>
      </c>
      <c r="C90" s="3">
        <v>46278</v>
      </c>
      <c r="D90" s="1" t="s">
        <v>119</v>
      </c>
      <c r="E90" s="1" t="s">
        <v>120</v>
      </c>
      <c r="F90" s="1" t="s">
        <v>11</v>
      </c>
      <c r="G90" s="1">
        <f>VLOOKUP(A90,'[1]Test Cases'!$A:$K,10,FALSE)</f>
        <v>0</v>
      </c>
      <c r="H90" s="1">
        <f>VLOOKUP(A90,'[1]Test Cases'!$A:$K,11,FALSE)</f>
        <v>0</v>
      </c>
      <c r="I90" s="1" t="e">
        <f>VLOOKUP(H90,'[2]Bug Reports'!$A:$M,11,FALSE)</f>
        <v>#N/A</v>
      </c>
    </row>
    <row r="91" spans="1:9" x14ac:dyDescent="0.3">
      <c r="A91" s="1" t="s">
        <v>107</v>
      </c>
      <c r="B91" s="1" t="s">
        <v>88</v>
      </c>
      <c r="C91" s="3">
        <v>46278</v>
      </c>
      <c r="D91" s="1" t="s">
        <v>119</v>
      </c>
      <c r="E91" s="1" t="s">
        <v>120</v>
      </c>
      <c r="F91" s="1" t="s">
        <v>11</v>
      </c>
      <c r="G91" s="1">
        <f>VLOOKUP(A91,'[1]Test Cases'!$A:$K,10,FALSE)</f>
        <v>0</v>
      </c>
      <c r="H91" s="1">
        <f>VLOOKUP(A91,'[1]Test Cases'!$A:$K,11,FALSE)</f>
        <v>0</v>
      </c>
      <c r="I91" s="1" t="e">
        <f>VLOOKUP(H91,'[2]Bug Reports'!$A:$M,11,FALSE)</f>
        <v>#N/A</v>
      </c>
    </row>
    <row r="92" spans="1:9" x14ac:dyDescent="0.3">
      <c r="A92" s="1" t="s">
        <v>108</v>
      </c>
      <c r="B92" s="1" t="s">
        <v>88</v>
      </c>
      <c r="C92" s="3">
        <v>46278</v>
      </c>
      <c r="D92" s="1" t="s">
        <v>119</v>
      </c>
      <c r="E92" s="1" t="s">
        <v>120</v>
      </c>
      <c r="F92" s="1" t="s">
        <v>11</v>
      </c>
      <c r="G92" s="1">
        <f>VLOOKUP(A92,'[1]Test Cases'!$A:$K,10,FALSE)</f>
        <v>0</v>
      </c>
      <c r="H92" s="1">
        <f>VLOOKUP(A92,'[1]Test Cases'!$A:$K,11,FALSE)</f>
        <v>0</v>
      </c>
      <c r="I92" s="1" t="e">
        <f>VLOOKUP(H92,'[2]Bug Reports'!$A:$M,11,FALSE)</f>
        <v>#N/A</v>
      </c>
    </row>
    <row r="93" spans="1:9" ht="57.6" x14ac:dyDescent="0.3">
      <c r="A93" s="1" t="s">
        <v>109</v>
      </c>
      <c r="B93" s="1" t="s">
        <v>88</v>
      </c>
      <c r="C93" s="3">
        <v>46278</v>
      </c>
      <c r="D93" s="1" t="s">
        <v>119</v>
      </c>
      <c r="E93" s="1" t="s">
        <v>120</v>
      </c>
      <c r="F93" s="1" t="s">
        <v>11</v>
      </c>
      <c r="G93" s="1" t="str">
        <f>VLOOKUP(A93,'[1]Test Cases'!$A:$K,10,FALSE)</f>
        <v>When proceeding to checkout without login, the login page was displayed. After login, checkout proceeded with the selected items and correct item count, and the user was redirected to the shipping address page.</v>
      </c>
      <c r="H93" s="1" t="str">
        <f>VLOOKUP(A93,'[1]Test Cases'!$A:$K,11,FALSE)</f>
        <v>NA</v>
      </c>
      <c r="I93" s="1" t="e">
        <f>VLOOKUP(H93,'[2]Bug Reports'!$A:$M,11,FALSE)</f>
        <v>#N/A</v>
      </c>
    </row>
    <row r="94" spans="1:9" x14ac:dyDescent="0.3">
      <c r="A94" s="1" t="s">
        <v>110</v>
      </c>
      <c r="B94" s="1" t="s">
        <v>88</v>
      </c>
      <c r="C94" s="3">
        <v>46278</v>
      </c>
      <c r="D94" s="1" t="s">
        <v>119</v>
      </c>
      <c r="E94" s="1" t="s">
        <v>120</v>
      </c>
      <c r="F94" s="1" t="s">
        <v>11</v>
      </c>
      <c r="G94" s="1">
        <f>VLOOKUP(A94,'[1]Test Cases'!$A:$K,10,FALSE)</f>
        <v>0</v>
      </c>
      <c r="H94" s="1">
        <f>VLOOKUP(A94,'[1]Test Cases'!$A:$K,11,FALSE)</f>
        <v>0</v>
      </c>
      <c r="I94" s="1" t="e">
        <f>VLOOKUP(H94,'[2]Bug Reports'!$A:$M,11,FALSE)</f>
        <v>#N/A</v>
      </c>
    </row>
    <row r="95" spans="1:9" ht="115.2" x14ac:dyDescent="0.3">
      <c r="A95" s="1" t="s">
        <v>111</v>
      </c>
      <c r="B95" s="1" t="s">
        <v>103</v>
      </c>
      <c r="C95" s="3">
        <v>46278</v>
      </c>
      <c r="D95" s="1" t="s">
        <v>119</v>
      </c>
      <c r="E95" s="1" t="s">
        <v>120</v>
      </c>
      <c r="F95" s="1" t="s">
        <v>11</v>
      </c>
      <c r="G95" s="1" t="str">
        <f>VLOOKUP(A95,'[1]Test Cases'!$A:$K,10,FALSE)</f>
        <v>Checkout progressed successfully through the configured workflow. Selected items and quantities were retained, login validation was completed, the shipping address page was displayed, and payment options (Cash/Cheque and Card) were available. The final order preview displayed the checkout details, and the order was successfully placed. After order completion, the Orders and Continue buttons were displayed. Clicking Continue redirected to the website homepage.</v>
      </c>
      <c r="H95" s="1" t="str">
        <f>VLOOKUP(A95,'[1]Test Cases'!$A:$K,11,FALSE)</f>
        <v>NA</v>
      </c>
      <c r="I95" s="1" t="e">
        <f>VLOOKUP(H95,'[2]Bug Reports'!$A:$M,11,FALSE)</f>
        <v>#N/A</v>
      </c>
    </row>
    <row r="96" spans="1:9" ht="57.6" x14ac:dyDescent="0.3">
      <c r="A96" s="1" t="s">
        <v>112</v>
      </c>
      <c r="B96" s="1" t="s">
        <v>103</v>
      </c>
      <c r="C96" s="3">
        <v>46278</v>
      </c>
      <c r="D96" s="1" t="s">
        <v>119</v>
      </c>
      <c r="E96" s="1" t="s">
        <v>120</v>
      </c>
      <c r="F96" s="1" t="s">
        <v>11</v>
      </c>
      <c r="G96" s="1" t="str">
        <f>VLOOKUP(A96,'[1]Test Cases'!$A:$K,10,FALSE)</f>
        <v>Validation messages were displayed for the required fields: "City is required", "Street address is required", "Country is required", "Phone is required", and "Zip / postal code is required". Checkout was prevented from proceeding.</v>
      </c>
      <c r="H96" s="1" t="str">
        <f>VLOOKUP(A96,'[1]Test Cases'!$A:$K,11,FALSE)</f>
        <v>NA</v>
      </c>
      <c r="I96" s="1" t="e">
        <f>VLOOKUP(H96,'[2]Bug Reports'!$A:$M,11,FALSE)</f>
        <v>#N/A</v>
      </c>
    </row>
    <row r="97" spans="1:9" x14ac:dyDescent="0.3">
      <c r="A97" s="1" t="s">
        <v>113</v>
      </c>
      <c r="B97" s="1" t="s">
        <v>103</v>
      </c>
      <c r="C97" s="3">
        <v>46278</v>
      </c>
      <c r="D97" s="1" t="s">
        <v>119</v>
      </c>
      <c r="E97" s="1" t="s">
        <v>120</v>
      </c>
      <c r="F97" s="1" t="s">
        <v>11</v>
      </c>
      <c r="G97" s="1">
        <f>VLOOKUP(A97,'[1]Test Cases'!$A:$K,10,FALSE)</f>
        <v>0</v>
      </c>
      <c r="H97" s="1">
        <f>VLOOKUP(A97,'[1]Test Cases'!$A:$K,11,FALSE)</f>
        <v>0</v>
      </c>
      <c r="I97" s="1" t="e">
        <f>VLOOKUP(H97,'[2]Bug Reports'!$A:$M,11,FALSE)</f>
        <v>#N/A</v>
      </c>
    </row>
    <row r="98" spans="1:9" ht="43.2" x14ac:dyDescent="0.3">
      <c r="A98" s="1" t="s">
        <v>114</v>
      </c>
      <c r="B98" s="1" t="s">
        <v>103</v>
      </c>
      <c r="C98" s="3">
        <v>46278</v>
      </c>
      <c r="D98" s="1" t="s">
        <v>119</v>
      </c>
      <c r="E98" s="1" t="s">
        <v>120</v>
      </c>
      <c r="F98" s="1" t="s">
        <v>11</v>
      </c>
      <c r="G98" s="1" t="str">
        <f>VLOOKUP(A98,'[1]Test Cases'!$A:$K,10,FALSE)</f>
        <v>Selected "Next Day Air(The one day air shipping)"and it retained through the checkout process as shipping method. Continue button appeared to move next.</v>
      </c>
      <c r="H98" s="1" t="str">
        <f>VLOOKUP(A98,'[1]Test Cases'!$A:$K,11,FALSE)</f>
        <v>NA</v>
      </c>
      <c r="I98" s="1" t="e">
        <f>VLOOKUP(H98,'[2]Bug Reports'!$A:$M,11,FALSE)</f>
        <v>#N/A</v>
      </c>
    </row>
    <row r="99" spans="1:9" ht="57.6" x14ac:dyDescent="0.3">
      <c r="A99" s="1" t="s">
        <v>116</v>
      </c>
      <c r="B99" s="1" t="s">
        <v>103</v>
      </c>
      <c r="C99" s="3">
        <v>46278</v>
      </c>
      <c r="D99" s="1" t="s">
        <v>119</v>
      </c>
      <c r="E99" s="1" t="s">
        <v>120</v>
      </c>
      <c r="F99" s="1" t="s">
        <v>11</v>
      </c>
      <c r="G99" s="1" t="str">
        <f>VLOOKUP(A99,'[1]Test Cases'!$A:$K,10,FALSE)</f>
        <v>Selected "Credit Card(Pay by credit/ debit card)"and it retained through the checkout process as payment method. Continue button appeared to move next, when proceeded, was asked to fillcredit card details.</v>
      </c>
      <c r="H99" s="1" t="str">
        <f>VLOOKUP(A99,'[1]Test Cases'!$A:$K,11,FALSE)</f>
        <v>NA</v>
      </c>
      <c r="I99" s="1" t="e">
        <f>VLOOKUP(H99,'[2]Bug Reports'!$A:$M,11,FALSE)</f>
        <v>#N/A</v>
      </c>
    </row>
    <row r="100" spans="1:9" ht="43.2" x14ac:dyDescent="0.3">
      <c r="A100" s="1" t="s">
        <v>117</v>
      </c>
      <c r="B100" s="1" t="s">
        <v>103</v>
      </c>
      <c r="C100" s="3">
        <v>46278</v>
      </c>
      <c r="D100" s="1" t="s">
        <v>119</v>
      </c>
      <c r="E100" s="1" t="s">
        <v>120</v>
      </c>
      <c r="F100" s="1" t="s">
        <v>11</v>
      </c>
      <c r="G100" s="1" t="str">
        <f>VLOOKUP(A100,'[1]Test Cases'!$A:$K,10,FALSE)</f>
        <v>Order total remained consistent throughout the checkout process. Product, shipping, tax, and final order total values were calculated and displayed correctly.</v>
      </c>
      <c r="H100" s="1" t="str">
        <f>VLOOKUP(A100,'[1]Test Cases'!$A:$K,11,FALSE)</f>
        <v>NA</v>
      </c>
      <c r="I100" s="1" t="e">
        <f>VLOOKUP(H100,'[2]Bug Reports'!$A:$M,11,FALSE)</f>
        <v>#N/A</v>
      </c>
    </row>
    <row r="101" spans="1:9" ht="43.2" x14ac:dyDescent="0.3">
      <c r="A101" s="1" t="s">
        <v>118</v>
      </c>
      <c r="B101" s="1" t="s">
        <v>103</v>
      </c>
      <c r="C101" s="3">
        <v>46278</v>
      </c>
      <c r="D101" s="1" t="s">
        <v>119</v>
      </c>
      <c r="E101" s="1" t="s">
        <v>120</v>
      </c>
      <c r="F101" s="1" t="s">
        <v>11</v>
      </c>
      <c r="G101" s="1" t="str">
        <f>VLOOKUP(A101,'[1]Test Cases'!$A:$K,10,FALSE)</f>
        <v>A validation pop-up was displayed stating, "Please accept the terms of service before the next step." Checkout was prevented from proceeding.</v>
      </c>
      <c r="H101" s="1" t="str">
        <f>VLOOKUP(A101,'[1]Test Cases'!$A:$K,11,FALSE)</f>
        <v>NA</v>
      </c>
      <c r="I101" s="1" t="e">
        <f>VLOOKUP(H101,'[2]Bug Reports'!$A:$M,11,FALSE)</f>
        <v>#N/A</v>
      </c>
    </row>
    <row r="102" spans="1:9" x14ac:dyDescent="0.3">
      <c r="A102" s="1" t="s">
        <v>121</v>
      </c>
      <c r="B102" s="1" t="s">
        <v>103</v>
      </c>
      <c r="C102" s="3">
        <v>46278</v>
      </c>
      <c r="D102" s="1" t="s">
        <v>119</v>
      </c>
      <c r="E102" s="1" t="s">
        <v>120</v>
      </c>
      <c r="F102" s="1" t="s">
        <v>11</v>
      </c>
      <c r="G102" s="1">
        <f>VLOOKUP(A102,'[1]Test Cases'!$A:$K,10,FALSE)</f>
        <v>0</v>
      </c>
      <c r="H102" s="1">
        <f>VLOOKUP(A102,'[1]Test Cases'!$A:$K,11,FALSE)</f>
        <v>0</v>
      </c>
      <c r="I102" s="1" t="e">
        <f>VLOOKUP(H102,'[2]Bug Reports'!$A:$M,11,FALSE)</f>
        <v>#N/A</v>
      </c>
    </row>
    <row r="103" spans="1:9" x14ac:dyDescent="0.3">
      <c r="A103" s="1" t="s">
        <v>122</v>
      </c>
      <c r="B103" s="1" t="s">
        <v>103</v>
      </c>
      <c r="C103" s="3">
        <v>46278</v>
      </c>
      <c r="D103" s="1" t="s">
        <v>119</v>
      </c>
      <c r="E103" s="1" t="s">
        <v>120</v>
      </c>
      <c r="F103" s="1" t="s">
        <v>11</v>
      </c>
      <c r="G103" s="1">
        <f>VLOOKUP(A103,'[1]Test Cases'!$A:$K,10,FALSE)</f>
        <v>0</v>
      </c>
      <c r="H103" s="1">
        <f>VLOOKUP(A103,'[1]Test Cases'!$A:$K,11,FALSE)</f>
        <v>0</v>
      </c>
      <c r="I103" s="1" t="e">
        <f>VLOOKUP(H103,'[2]Bug Reports'!$A:$M,11,FALSE)</f>
        <v>#N/A</v>
      </c>
    </row>
    <row r="104" spans="1:9" x14ac:dyDescent="0.3">
      <c r="A104" s="1" t="s">
        <v>123</v>
      </c>
      <c r="B104" s="1" t="s">
        <v>103</v>
      </c>
      <c r="C104" s="3">
        <v>46278</v>
      </c>
      <c r="D104" s="1" t="s">
        <v>119</v>
      </c>
      <c r="E104" s="1" t="s">
        <v>120</v>
      </c>
      <c r="F104" s="1" t="s">
        <v>11</v>
      </c>
      <c r="G104" s="1">
        <f>VLOOKUP(A104,'[1]Test Cases'!$A:$K,10,FALSE)</f>
        <v>0</v>
      </c>
      <c r="H104" s="1">
        <f>VLOOKUP(A104,'[1]Test Cases'!$A:$K,11,FALSE)</f>
        <v>0</v>
      </c>
      <c r="I104" s="1" t="e">
        <f>VLOOKUP(H104,'[2]Bug Reports'!$A:$M,11,FALSE)</f>
        <v>#N/A</v>
      </c>
    </row>
    <row r="105" spans="1:9" x14ac:dyDescent="0.3">
      <c r="A105" s="1" t="s">
        <v>124</v>
      </c>
      <c r="B105" s="1" t="s">
        <v>103</v>
      </c>
      <c r="C105" s="3">
        <v>46278</v>
      </c>
      <c r="D105" s="1" t="s">
        <v>119</v>
      </c>
      <c r="E105" s="1" t="s">
        <v>120</v>
      </c>
      <c r="F105" s="1" t="s">
        <v>11</v>
      </c>
      <c r="G105" s="1">
        <f>VLOOKUP(A105,'[1]Test Cases'!$A:$K,10,FALSE)</f>
        <v>0</v>
      </c>
      <c r="H105" s="1">
        <f>VLOOKUP(A105,'[1]Test Cases'!$A:$K,11,FALSE)</f>
        <v>0</v>
      </c>
      <c r="I105" s="1" t="e">
        <f>VLOOKUP(H105,'[2]Bug Reports'!$A:$M,11,FALSE)</f>
        <v>#N/A</v>
      </c>
    </row>
    <row r="106" spans="1:9" ht="28.8" x14ac:dyDescent="0.3">
      <c r="A106" s="1" t="s">
        <v>125</v>
      </c>
      <c r="B106" s="1" t="s">
        <v>115</v>
      </c>
      <c r="C106" s="3">
        <v>46278</v>
      </c>
      <c r="D106" s="1" t="s">
        <v>119</v>
      </c>
      <c r="E106" s="1" t="s">
        <v>120</v>
      </c>
      <c r="F106" s="1" t="s">
        <v>11</v>
      </c>
      <c r="G106" s="1" t="str">
        <f>VLOOKUP(A106,'[1]Test Cases'!$A:$K,10,FALSE)</f>
        <v>Homepage loaded successfully without any blocking error when the application URL was entered in the browser address bar.</v>
      </c>
      <c r="H106" s="1" t="str">
        <f>VLOOKUP(A106,'[1]Test Cases'!$A:$K,11,FALSE)</f>
        <v>NA</v>
      </c>
      <c r="I106" s="1" t="e">
        <f>VLOOKUP(H106,'[2]Bug Reports'!$A:$M,11,FALSE)</f>
        <v>#N/A</v>
      </c>
    </row>
    <row r="107" spans="1:9" ht="28.8" x14ac:dyDescent="0.3">
      <c r="A107" s="1" t="s">
        <v>126</v>
      </c>
      <c r="B107" s="1" t="s">
        <v>115</v>
      </c>
      <c r="C107" s="3">
        <v>46278</v>
      </c>
      <c r="D107" s="1" t="s">
        <v>119</v>
      </c>
      <c r="E107" s="1" t="s">
        <v>120</v>
      </c>
      <c r="F107" s="1" t="s">
        <v>11</v>
      </c>
      <c r="G107" s="1" t="str">
        <f>VLOOKUP(A107,'[1]Test Cases'!$A:$K,10,FALSE)</f>
        <v>Major navigation links opened successfully and target pages loaded without any errors.</v>
      </c>
      <c r="H107" s="1" t="str">
        <f>VLOOKUP(A107,'[1]Test Cases'!$A:$K,11,FALSE)</f>
        <v>NA</v>
      </c>
      <c r="I107" s="1" t="e">
        <f>VLOOKUP(H107,'[2]Bug Reports'!$A:$M,11,FALSE)</f>
        <v>#N/A</v>
      </c>
    </row>
    <row r="108" spans="1:9" ht="28.8" x14ac:dyDescent="0.3">
      <c r="A108" s="1" t="s">
        <v>127</v>
      </c>
      <c r="B108" s="1" t="s">
        <v>115</v>
      </c>
      <c r="C108" s="3">
        <v>46278</v>
      </c>
      <c r="D108" s="1" t="s">
        <v>119</v>
      </c>
      <c r="E108" s="1" t="s">
        <v>120</v>
      </c>
      <c r="F108" s="1" t="s">
        <v>11</v>
      </c>
      <c r="G108" s="1" t="str">
        <f>VLOOKUP(A108,'[1]Test Cases'!$A:$K,10,FALSE)</f>
        <v>Register page opened successfully and the registration contents were displayed correctly.</v>
      </c>
      <c r="H108" s="1" t="str">
        <f>VLOOKUP(A108,'[1]Test Cases'!$A:$K,11,FALSE)</f>
        <v>NA</v>
      </c>
      <c r="I108" s="1" t="e">
        <f>VLOOKUP(H108,'[2]Bug Reports'!$A:$M,11,FALSE)</f>
        <v>#N/A</v>
      </c>
    </row>
    <row r="109" spans="1:9" ht="28.8" x14ac:dyDescent="0.3">
      <c r="A109" s="1" t="s">
        <v>128</v>
      </c>
      <c r="B109" s="1" t="s">
        <v>115</v>
      </c>
      <c r="C109" s="3">
        <v>46278</v>
      </c>
      <c r="D109" s="1" t="s">
        <v>119</v>
      </c>
      <c r="E109" s="1" t="s">
        <v>120</v>
      </c>
      <c r="F109" s="1" t="s">
        <v>11</v>
      </c>
      <c r="G109" s="1" t="str">
        <f>VLOOKUP(A109,'[1]Test Cases'!$A:$K,10,FALSE)</f>
        <v>Login page opened successfully and the login contents were displayed correctly.</v>
      </c>
      <c r="H109" s="1" t="str">
        <f>VLOOKUP(A109,'[1]Test Cases'!$A:$K,11,FALSE)</f>
        <v>NA</v>
      </c>
      <c r="I109" s="1" t="e">
        <f>VLOOKUP(H109,'[2]Bug Reports'!$A:$M,11,FALSE)</f>
        <v>#N/A</v>
      </c>
    </row>
  </sheetData>
  <autoFilter ref="I1:I109"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Execution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 Ram</cp:lastModifiedBy>
  <dcterms:created xsi:type="dcterms:W3CDTF">2026-09-12T16:17:11Z</dcterms:created>
  <dcterms:modified xsi:type="dcterms:W3CDTF">2026-09-13T18:16:56Z</dcterms:modified>
</cp:coreProperties>
</file>